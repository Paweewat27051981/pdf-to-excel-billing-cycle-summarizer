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ค่าเที่ยวรถร่วม ปี 2569\ค่าเที่ยวรถร่วม เดือน พ.ค. 69\"/>
    </mc:Choice>
  </mc:AlternateContent>
  <xr:revisionPtr revIDLastSave="0" documentId="13_ncr:1_{313090CE-B84E-4171-8624-A980A0644C75}" xr6:coauthVersionLast="47" xr6:coauthVersionMax="47" xr10:uidLastSave="{00000000-0000-0000-0000-000000000000}"/>
  <bookViews>
    <workbookView xWindow="-120" yWindow="-120" windowWidth="20640" windowHeight="11160" tabRatio="978" firstSheet="8" activeTab="16" xr2:uid="{00000000-000D-0000-FFFF-FFFF00000000}"/>
  </bookViews>
  <sheets>
    <sheet name="ผท-3888" sheetId="5" r:id="rId1"/>
    <sheet name="ผท-3888(2)" sheetId="61" r:id="rId2"/>
    <sheet name="ผท-6937" sheetId="20" r:id="rId3"/>
    <sheet name="ผท-6937(2)" sheetId="37" r:id="rId4"/>
    <sheet name="ผจ-5663" sheetId="12" r:id="rId5"/>
    <sheet name="ผจ-5663(2)" sheetId="39" r:id="rId6"/>
    <sheet name="ผฉ-1941" sheetId="17" r:id="rId7"/>
    <sheet name="ผฉ-1941(2)" sheetId="42" r:id="rId8"/>
    <sheet name="ผฉ-3572" sheetId="16" r:id="rId9"/>
    <sheet name="ผฉ-3572(2)" sheetId="43" r:id="rId10"/>
    <sheet name="3ฒพ-5552" sheetId="26" r:id="rId11"/>
    <sheet name="3ฒพ-5552(2)" sheetId="54" r:id="rId12"/>
    <sheet name="ผท-4890" sheetId="29" r:id="rId13"/>
    <sheet name="ผท-4890(2)" sheetId="57" r:id="rId14"/>
    <sheet name="บล-5334" sheetId="25" r:id="rId15"/>
    <sheet name="บล-5334(2)" sheetId="51" r:id="rId16"/>
    <sheet name="ผฉ-302ตู้" sheetId="13" r:id="rId17"/>
    <sheet name="ผฉ-302ตู้(2)" sheetId="40" r:id="rId18"/>
    <sheet name="ผฉ-3101ตู้" sheetId="15" r:id="rId19"/>
    <sheet name="ผฉ-3101ตู้(2)" sheetId="44" r:id="rId20"/>
    <sheet name="ผฉ-6108ตู้" sheetId="19" r:id="rId21"/>
    <sheet name="ผฉ-6108ตู้(2)" sheetId="46" r:id="rId22"/>
    <sheet name="3ฒต-983ตู้" sheetId="21" r:id="rId23"/>
    <sheet name="3ฒต-983ตู้(2)" sheetId="47" r:id="rId24"/>
    <sheet name="รายการหัก" sheetId="4" r:id="rId25"/>
    <sheet name="สรุปน้ำม้น" sheetId="33" r:id="rId26"/>
    <sheet name="สรุปรวม" sheetId="30" r:id="rId27"/>
    <sheet name="ราคาขนส่ง" sheetId="3" r:id="rId28"/>
    <sheet name="รายชื่อ" sheetId="53" r:id="rId29"/>
    <sheet name="Sheet1" sheetId="58" r:id="rId30"/>
    <sheet name="Sheet2" sheetId="59" r:id="rId31"/>
    <sheet name="Sheet3" sheetId="60" r:id="rId32"/>
  </sheets>
  <externalReferences>
    <externalReference r:id="rId33"/>
  </externalReferences>
  <definedNames>
    <definedName name="ราคา">ราคาขนส่ง!$I$2:$I$3</definedName>
    <definedName name="สถานที่">ราคาขนส่ง!$B$3:$B$52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9" l="1"/>
  <c r="F22" i="5" l="1" a="1"/>
  <c r="F22" i="5"/>
  <c r="G22" i="5" s="1"/>
  <c r="I22" i="5" s="1"/>
  <c r="J22" i="5" s="1"/>
  <c r="F23" i="5" a="1"/>
  <c r="F23" i="5"/>
  <c r="G23" i="5" s="1"/>
  <c r="I23" i="5" s="1"/>
  <c r="J23" i="5" s="1"/>
  <c r="F24" i="5" a="1"/>
  <c r="F24" i="5"/>
  <c r="G24" i="5" s="1"/>
  <c r="I24" i="5" s="1"/>
  <c r="J24" i="5" s="1"/>
  <c r="F25" i="5" a="1"/>
  <c r="F25" i="5"/>
  <c r="G25" i="5" s="1"/>
  <c r="I25" i="5" s="1"/>
  <c r="J25" i="5" s="1"/>
  <c r="F12" i="17" a="1"/>
  <c r="F12" i="17"/>
  <c r="G12" i="17" s="1"/>
  <c r="I12" i="17" s="1"/>
  <c r="J12" i="17" s="1"/>
  <c r="F13" i="17" a="1"/>
  <c r="F13" i="17"/>
  <c r="G13" i="17" s="1"/>
  <c r="I13" i="17" s="1"/>
  <c r="J13" i="17" s="1"/>
  <c r="F14" i="17" a="1"/>
  <c r="F14" i="17" s="1"/>
  <c r="G14" i="17" s="1"/>
  <c r="I14" i="17" s="1"/>
  <c r="J14" i="17" s="1"/>
  <c r="F15" i="17" a="1"/>
  <c r="F15" i="17" s="1"/>
  <c r="G15" i="17" s="1"/>
  <c r="I15" i="17" s="1"/>
  <c r="J15" i="17" s="1"/>
  <c r="F15" i="12" a="1"/>
  <c r="F15" i="12"/>
  <c r="G15" i="12" s="1"/>
  <c r="I15" i="12" s="1"/>
  <c r="J15" i="12" s="1"/>
  <c r="F12" i="29" a="1"/>
  <c r="F12" i="29"/>
  <c r="G12" i="29" s="1"/>
  <c r="I12" i="29" s="1"/>
  <c r="J12" i="29" s="1"/>
  <c r="F13" i="29" a="1"/>
  <c r="F13" i="29"/>
  <c r="G13" i="29" s="1"/>
  <c r="I13" i="29" s="1"/>
  <c r="J13" i="29" s="1"/>
  <c r="F14" i="29" a="1"/>
  <c r="F14" i="29"/>
  <c r="G14" i="29" s="1"/>
  <c r="I14" i="29" s="1"/>
  <c r="J14" i="29" s="1"/>
  <c r="F15" i="29" a="1"/>
  <c r="F15" i="29" s="1"/>
  <c r="G15" i="29" s="1"/>
  <c r="I15" i="29" s="1"/>
  <c r="J15" i="29" s="1"/>
  <c r="F11" i="16" a="1"/>
  <c r="F11" i="16" s="1"/>
  <c r="G11" i="16" s="1"/>
  <c r="I11" i="16" s="1"/>
  <c r="J11" i="16" s="1"/>
  <c r="F10" i="16" a="1"/>
  <c r="F10" i="16" s="1"/>
  <c r="G10" i="16" s="1"/>
  <c r="I10" i="16" s="1"/>
  <c r="J10" i="16" s="1"/>
  <c r="F17" i="21" a="1"/>
  <c r="F17" i="21"/>
  <c r="G17" i="21" s="1"/>
  <c r="I17" i="21" s="1"/>
  <c r="J17" i="21" s="1"/>
  <c r="F20" i="13" a="1"/>
  <c r="F20" i="13"/>
  <c r="G20" i="13" s="1"/>
  <c r="I20" i="13" s="1"/>
  <c r="J20" i="13" s="1"/>
  <c r="F19" i="13" a="1"/>
  <c r="F19" i="13" s="1"/>
  <c r="G19" i="13" s="1"/>
  <c r="I19" i="13" s="1"/>
  <c r="J19" i="13" s="1"/>
  <c r="F21" i="13" a="1"/>
  <c r="F21" i="13" s="1"/>
  <c r="G21" i="13" s="1"/>
  <c r="I21" i="13" s="1"/>
  <c r="J21" i="13" s="1"/>
  <c r="F17" i="13" a="1"/>
  <c r="F17" i="13" s="1"/>
  <c r="G17" i="13" s="1"/>
  <c r="I17" i="13" s="1"/>
  <c r="J17" i="13" s="1"/>
  <c r="F18" i="13" a="1"/>
  <c r="F18" i="13" s="1"/>
  <c r="G18" i="13" s="1"/>
  <c r="I18" i="13" s="1"/>
  <c r="J18" i="13" s="1"/>
  <c r="F14" i="13" a="1"/>
  <c r="F14" i="13" s="1"/>
  <c r="G14" i="13" s="1"/>
  <c r="I14" i="13" s="1"/>
  <c r="J14" i="13" s="1"/>
  <c r="F15" i="13" a="1"/>
  <c r="F15" i="13" s="1"/>
  <c r="G15" i="13" s="1"/>
  <c r="I15" i="13" s="1"/>
  <c r="J15" i="13" s="1"/>
  <c r="F14" i="19" a="1"/>
  <c r="F14" i="19"/>
  <c r="G14" i="19" s="1"/>
  <c r="I14" i="19" s="1"/>
  <c r="J14" i="19" s="1"/>
  <c r="D13" i="44"/>
  <c r="F16" i="13" a="1"/>
  <c r="F16" i="13" s="1"/>
  <c r="G16" i="13" s="1"/>
  <c r="I16" i="13" s="1"/>
  <c r="J16" i="13" s="1"/>
  <c r="F10" i="5" a="1"/>
  <c r="F10" i="5" s="1"/>
  <c r="G10" i="5" s="1"/>
  <c r="I10" i="5" s="1"/>
  <c r="J10" i="5" s="1"/>
  <c r="F6" i="19" a="1"/>
  <c r="F6" i="19" s="1"/>
  <c r="G6" i="19" s="1"/>
  <c r="I6" i="19" s="1"/>
  <c r="J6" i="19" s="1"/>
  <c r="F15" i="21" l="1" a="1"/>
  <c r="F15" i="21" s="1"/>
  <c r="G15" i="21" s="1"/>
  <c r="I15" i="21" s="1"/>
  <c r="J15" i="21" s="1"/>
  <c r="F16" i="21" a="1"/>
  <c r="F16" i="21" s="1"/>
  <c r="G16" i="21" s="1"/>
  <c r="I16" i="21" s="1"/>
  <c r="J16" i="21" s="1"/>
  <c r="F15" i="15" a="1"/>
  <c r="F15" i="15" s="1"/>
  <c r="G15" i="15" s="1"/>
  <c r="I15" i="15" s="1"/>
  <c r="J15" i="15" s="1"/>
  <c r="F13" i="15" a="1"/>
  <c r="F13" i="15" s="1"/>
  <c r="G13" i="15" s="1"/>
  <c r="I13" i="15" s="1"/>
  <c r="J13" i="15" s="1"/>
  <c r="F12" i="15" a="1"/>
  <c r="F12" i="15" s="1"/>
  <c r="G12" i="15" s="1"/>
  <c r="I12" i="15" s="1"/>
  <c r="J12" i="15" s="1"/>
  <c r="F11" i="15" a="1"/>
  <c r="F11" i="15" s="1"/>
  <c r="G11" i="15" s="1"/>
  <c r="I11" i="15" s="1"/>
  <c r="J11" i="15" s="1"/>
  <c r="F6" i="15" a="1"/>
  <c r="F6" i="15" s="1"/>
  <c r="G6" i="15" s="1"/>
  <c r="I6" i="15" s="1"/>
  <c r="J6" i="15" s="1"/>
  <c r="F11" i="5" l="1" a="1"/>
  <c r="F11" i="5" s="1"/>
  <c r="G11" i="5" s="1"/>
  <c r="I11" i="5" s="1"/>
  <c r="J11" i="5" s="1"/>
  <c r="F14" i="20" a="1"/>
  <c r="F14" i="20" s="1"/>
  <c r="G14" i="20" s="1"/>
  <c r="I14" i="20" s="1"/>
  <c r="J14" i="20" s="1"/>
  <c r="F22" i="16" a="1"/>
  <c r="F22" i="16" s="1"/>
  <c r="G22" i="16" s="1"/>
  <c r="I22" i="16" s="1"/>
  <c r="J22" i="16" s="1"/>
  <c r="F21" i="16" a="1"/>
  <c r="F21" i="16" s="1"/>
  <c r="G21" i="16" s="1"/>
  <c r="I21" i="16" s="1"/>
  <c r="J21" i="16" s="1"/>
  <c r="F17" i="16" a="1"/>
  <c r="F17" i="16" s="1"/>
  <c r="G17" i="16" s="1"/>
  <c r="I17" i="16" s="1"/>
  <c r="J17" i="16" s="1"/>
  <c r="F14" i="12" a="1"/>
  <c r="F14" i="12" s="1"/>
  <c r="G14" i="12" s="1"/>
  <c r="I14" i="12" s="1"/>
  <c r="J14" i="12" s="1"/>
  <c r="F11" i="12" a="1"/>
  <c r="F11" i="12" s="1"/>
  <c r="G11" i="12" s="1"/>
  <c r="I11" i="12" s="1"/>
  <c r="J11" i="12" s="1"/>
  <c r="F8" i="12" a="1"/>
  <c r="F8" i="12" s="1"/>
  <c r="G8" i="12" s="1"/>
  <c r="I8" i="12" s="1"/>
  <c r="J8" i="12" s="1"/>
  <c r="F7" i="12" l="1" a="1"/>
  <c r="F7" i="12" s="1"/>
  <c r="G7" i="12" s="1"/>
  <c r="I7" i="12" s="1"/>
  <c r="J7" i="12" s="1"/>
  <c r="F9" i="12" a="1"/>
  <c r="F9" i="12" s="1"/>
  <c r="G9" i="12" s="1"/>
  <c r="I9" i="12" s="1"/>
  <c r="J9" i="12" s="1"/>
  <c r="F10" i="12" a="1"/>
  <c r="F10" i="12" s="1"/>
  <c r="G10" i="12" s="1"/>
  <c r="I10" i="12" s="1"/>
  <c r="J10" i="12" s="1"/>
  <c r="D9" i="46" l="1"/>
  <c r="F7" i="20" l="1" a="1"/>
  <c r="F7" i="20" s="1"/>
  <c r="G7" i="20" s="1"/>
  <c r="I7" i="20" s="1"/>
  <c r="J7" i="20" s="1"/>
  <c r="F18" i="16" a="1"/>
  <c r="F18" i="16" s="1"/>
  <c r="G18" i="16" s="1"/>
  <c r="I18" i="16" s="1"/>
  <c r="J18" i="16" s="1"/>
  <c r="F19" i="16" a="1"/>
  <c r="F19" i="16" s="1"/>
  <c r="G19" i="16" s="1"/>
  <c r="I19" i="16" s="1"/>
  <c r="J19" i="16" s="1"/>
  <c r="F17" i="20" l="1" a="1"/>
  <c r="F17" i="20" s="1"/>
  <c r="G17" i="20" s="1"/>
  <c r="I17" i="20" s="1"/>
  <c r="J17" i="20" s="1"/>
  <c r="F13" i="20" a="1"/>
  <c r="F13" i="20" s="1"/>
  <c r="G13" i="20" s="1"/>
  <c r="I13" i="20" s="1"/>
  <c r="J13" i="20" s="1"/>
  <c r="C2" i="61" l="1"/>
  <c r="B2" i="33" s="1"/>
  <c r="D13" i="61"/>
  <c r="C2" i="33" s="1"/>
  <c r="A2" i="61"/>
  <c r="F7" i="17" a="1"/>
  <c r="F7" i="17" s="1"/>
  <c r="G7" i="17" s="1"/>
  <c r="I7" i="17" s="1"/>
  <c r="J7" i="17" s="1"/>
  <c r="F10" i="17" a="1"/>
  <c r="F10" i="17" s="1"/>
  <c r="G10" i="17" s="1"/>
  <c r="I10" i="17" s="1"/>
  <c r="J10" i="17" s="1"/>
  <c r="F11" i="17" a="1"/>
  <c r="F11" i="17" s="1"/>
  <c r="G11" i="17" s="1"/>
  <c r="I11" i="17" s="1"/>
  <c r="J11" i="17" s="1"/>
  <c r="F16" i="17" a="1"/>
  <c r="F16" i="17" s="1"/>
  <c r="G16" i="17" s="1"/>
  <c r="I16" i="17" s="1"/>
  <c r="J16" i="17" s="1"/>
  <c r="D12" i="47"/>
  <c r="F16" i="5" a="1"/>
  <c r="F16" i="5" s="1"/>
  <c r="G16" i="5" s="1"/>
  <c r="I16" i="5" s="1"/>
  <c r="J16" i="5" s="1"/>
  <c r="F15" i="5" a="1"/>
  <c r="F15" i="5" s="1"/>
  <c r="G15" i="5" s="1"/>
  <c r="I15" i="5" s="1"/>
  <c r="J15" i="5" s="1"/>
  <c r="F16" i="29" a="1"/>
  <c r="F16" i="29" s="1"/>
  <c r="G16" i="29" s="1"/>
  <c r="I16" i="29" s="1"/>
  <c r="J16" i="29" s="1"/>
  <c r="F17" i="29" a="1"/>
  <c r="F17" i="29" s="1"/>
  <c r="G17" i="29" s="1"/>
  <c r="I17" i="29" s="1"/>
  <c r="J17" i="29" s="1"/>
  <c r="F6" i="29" a="1"/>
  <c r="F6" i="29" s="1"/>
  <c r="G6" i="29" s="1"/>
  <c r="I6" i="29" s="1"/>
  <c r="J6" i="29" s="1"/>
  <c r="F20" i="5" a="1"/>
  <c r="F20" i="5" s="1"/>
  <c r="G20" i="5" s="1"/>
  <c r="I20" i="5" s="1"/>
  <c r="J20" i="5" s="1"/>
  <c r="F21" i="5" a="1"/>
  <c r="F21" i="5" s="1"/>
  <c r="G21" i="5" s="1"/>
  <c r="I21" i="5" s="1"/>
  <c r="J21" i="5" s="1"/>
  <c r="F19" i="5" a="1"/>
  <c r="F19" i="5" s="1"/>
  <c r="G19" i="5" s="1"/>
  <c r="I19" i="5" s="1"/>
  <c r="J19" i="5" s="1"/>
  <c r="F26" i="5" a="1"/>
  <c r="F26" i="5" s="1"/>
  <c r="G26" i="5" s="1"/>
  <c r="I26" i="5" s="1"/>
  <c r="J26" i="5" s="1"/>
  <c r="F15" i="19" a="1"/>
  <c r="F15" i="19" s="1"/>
  <c r="G15" i="19" s="1"/>
  <c r="I15" i="19" s="1"/>
  <c r="J15" i="19" s="1"/>
  <c r="F13" i="19" a="1"/>
  <c r="F13" i="19" s="1"/>
  <c r="G13" i="19" s="1"/>
  <c r="I13" i="19" s="1"/>
  <c r="J13" i="19" s="1"/>
  <c r="F11" i="19" a="1"/>
  <c r="F11" i="19" s="1"/>
  <c r="G11" i="19" s="1"/>
  <c r="I11" i="19" s="1"/>
  <c r="J11" i="19" s="1"/>
  <c r="F12" i="19" a="1"/>
  <c r="F12" i="19" s="1"/>
  <c r="G12" i="19" s="1"/>
  <c r="I12" i="19" s="1"/>
  <c r="J12" i="19" s="1"/>
  <c r="F14" i="21" a="1"/>
  <c r="F14" i="21" s="1"/>
  <c r="G14" i="21" s="1"/>
  <c r="I14" i="21" s="1"/>
  <c r="J14" i="21" s="1"/>
  <c r="F7" i="21" a="1"/>
  <c r="F7" i="21" s="1"/>
  <c r="G7" i="21" s="1"/>
  <c r="I7" i="21" s="1"/>
  <c r="J7" i="21" s="1"/>
  <c r="F6" i="21" a="1"/>
  <c r="F6" i="21" s="1"/>
  <c r="G6" i="21" s="1"/>
  <c r="I6" i="21" s="1"/>
  <c r="J6" i="21" s="1"/>
  <c r="F8" i="15" a="1"/>
  <c r="F8" i="15" s="1"/>
  <c r="G8" i="15" s="1"/>
  <c r="I8" i="15" s="1"/>
  <c r="J8" i="15" s="1"/>
  <c r="F9" i="15" a="1"/>
  <c r="F9" i="15" s="1"/>
  <c r="G9" i="15" s="1"/>
  <c r="I9" i="15" s="1"/>
  <c r="J9" i="15" s="1"/>
  <c r="F10" i="15" a="1"/>
  <c r="F10" i="15" s="1"/>
  <c r="G10" i="15" s="1"/>
  <c r="I10" i="15" s="1"/>
  <c r="J10" i="15" s="1"/>
  <c r="F10" i="21" a="1"/>
  <c r="F10" i="21" s="1"/>
  <c r="G10" i="21" s="1"/>
  <c r="I10" i="21" s="1"/>
  <c r="J10" i="21" s="1"/>
  <c r="B6" i="4"/>
  <c r="F10" i="20" a="1"/>
  <c r="F10" i="20" s="1"/>
  <c r="G10" i="20" s="1"/>
  <c r="I10" i="20" s="1"/>
  <c r="J10" i="20" s="1"/>
  <c r="F11" i="20" a="1"/>
  <c r="F11" i="20" s="1"/>
  <c r="G11" i="20" s="1"/>
  <c r="I11" i="20" s="1"/>
  <c r="J11" i="20" s="1"/>
  <c r="F12" i="20" a="1"/>
  <c r="F12" i="20" s="1"/>
  <c r="G12" i="20" s="1"/>
  <c r="I12" i="20" s="1"/>
  <c r="J12" i="20" s="1"/>
  <c r="F15" i="20" a="1"/>
  <c r="F15" i="20" s="1"/>
  <c r="G15" i="20" s="1"/>
  <c r="I15" i="20" s="1"/>
  <c r="J15" i="20" s="1"/>
  <c r="F16" i="20" a="1"/>
  <c r="F16" i="20" s="1"/>
  <c r="G16" i="20" s="1"/>
  <c r="I16" i="20" s="1"/>
  <c r="J16" i="20" s="1"/>
  <c r="F18" i="20" a="1"/>
  <c r="F18" i="20" s="1"/>
  <c r="G18" i="20" s="1"/>
  <c r="I18" i="20" s="1"/>
  <c r="J18" i="20" s="1"/>
  <c r="F12" i="12" a="1"/>
  <c r="F12" i="12" s="1"/>
  <c r="G12" i="12" s="1"/>
  <c r="I12" i="12" s="1"/>
  <c r="J12" i="12" s="1"/>
  <c r="F13" i="12" a="1"/>
  <c r="F13" i="12" s="1"/>
  <c r="G13" i="12" s="1"/>
  <c r="I13" i="12" s="1"/>
  <c r="J13" i="12" s="1"/>
  <c r="F18" i="17" a="1"/>
  <c r="F18" i="17" s="1"/>
  <c r="G18" i="17" s="1"/>
  <c r="I18" i="17" s="1"/>
  <c r="J18" i="17" s="1"/>
  <c r="F19" i="17" a="1"/>
  <c r="F19" i="17" s="1"/>
  <c r="G19" i="17" s="1"/>
  <c r="I19" i="17" s="1"/>
  <c r="J19" i="17" s="1"/>
  <c r="F20" i="17" a="1"/>
  <c r="F20" i="17" s="1"/>
  <c r="G20" i="17" s="1"/>
  <c r="I20" i="17" s="1"/>
  <c r="J20" i="17" s="1"/>
  <c r="F14" i="16" a="1"/>
  <c r="F14" i="16" s="1"/>
  <c r="G14" i="16" s="1"/>
  <c r="I14" i="16" s="1"/>
  <c r="J14" i="16" s="1"/>
  <c r="F15" i="16" a="1"/>
  <c r="F15" i="16" s="1"/>
  <c r="G15" i="16" s="1"/>
  <c r="I15" i="16" s="1"/>
  <c r="J15" i="16" s="1"/>
  <c r="F16" i="16" a="1"/>
  <c r="F16" i="16" s="1"/>
  <c r="G16" i="16" s="1"/>
  <c r="I16" i="16" s="1"/>
  <c r="J16" i="16" s="1"/>
  <c r="F20" i="16" a="1"/>
  <c r="F20" i="16" s="1"/>
  <c r="G20" i="16" s="1"/>
  <c r="I20" i="16" s="1"/>
  <c r="J20" i="16" s="1"/>
  <c r="F7" i="19" a="1"/>
  <c r="F7" i="19" s="1"/>
  <c r="G7" i="19" s="1"/>
  <c r="I7" i="19" s="1"/>
  <c r="J7" i="19" s="1"/>
  <c r="F8" i="19" a="1"/>
  <c r="F8" i="19" s="1"/>
  <c r="G8" i="19" s="1"/>
  <c r="I8" i="19" s="1"/>
  <c r="J8" i="19" s="1"/>
  <c r="F9" i="13" a="1"/>
  <c r="F9" i="13" s="1"/>
  <c r="G9" i="13" s="1"/>
  <c r="I9" i="13" s="1"/>
  <c r="J9" i="13" s="1"/>
  <c r="F6" i="13" a="1"/>
  <c r="F6" i="13" s="1"/>
  <c r="G6" i="13" s="1"/>
  <c r="I6" i="13" s="1"/>
  <c r="J6" i="13" s="1"/>
  <c r="C32" i="5" l="1"/>
  <c r="F12" i="16" a="1"/>
  <c r="F12" i="16" s="1"/>
  <c r="G12" i="16" s="1"/>
  <c r="I12" i="16" s="1"/>
  <c r="J12" i="16" s="1"/>
  <c r="F9" i="16" a="1"/>
  <c r="F9" i="16" s="1"/>
  <c r="G9" i="16" s="1"/>
  <c r="I9" i="16" s="1"/>
  <c r="J9" i="16" s="1"/>
  <c r="F8" i="16" a="1"/>
  <c r="F8" i="16" s="1"/>
  <c r="G8" i="16" s="1"/>
  <c r="I8" i="16" s="1"/>
  <c r="J8" i="16" s="1"/>
  <c r="F7" i="16" a="1"/>
  <c r="F7" i="16" s="1"/>
  <c r="G7" i="16" s="1"/>
  <c r="I7" i="16" s="1"/>
  <c r="J7" i="16" s="1"/>
  <c r="F6" i="16" a="1"/>
  <c r="F6" i="16" s="1"/>
  <c r="G6" i="16" s="1"/>
  <c r="I6" i="16" s="1"/>
  <c r="J6" i="16" s="1"/>
  <c r="F5" i="16" a="1"/>
  <c r="F5" i="16" s="1"/>
  <c r="G5" i="16" s="1"/>
  <c r="I5" i="16" s="1"/>
  <c r="J5" i="16" s="1"/>
  <c r="F16" i="15" a="1"/>
  <c r="F16" i="15" s="1"/>
  <c r="G16" i="15" s="1"/>
  <c r="I16" i="15" s="1"/>
  <c r="J16" i="15" s="1"/>
  <c r="F11" i="29" l="1" a="1"/>
  <c r="F11" i="29" s="1"/>
  <c r="G11" i="29" s="1"/>
  <c r="I11" i="29" s="1"/>
  <c r="J11" i="29" s="1"/>
  <c r="F8" i="29" a="1"/>
  <c r="F8" i="29" s="1"/>
  <c r="G8" i="29" s="1"/>
  <c r="I8" i="29" s="1"/>
  <c r="J8" i="29" s="1"/>
  <c r="F9" i="5" a="1"/>
  <c r="F9" i="5" s="1"/>
  <c r="G9" i="5" s="1"/>
  <c r="I9" i="5" s="1"/>
  <c r="J9" i="5" s="1"/>
  <c r="F13" i="16" a="1"/>
  <c r="F13" i="16" s="1"/>
  <c r="G13" i="16" s="1"/>
  <c r="I13" i="16" s="1"/>
  <c r="J13" i="16" s="1"/>
  <c r="F9" i="21" a="1"/>
  <c r="F9" i="21" s="1"/>
  <c r="G9" i="21" s="1"/>
  <c r="I9" i="21" s="1"/>
  <c r="J9" i="21" s="1"/>
  <c r="F11" i="21" a="1"/>
  <c r="F11" i="21" s="1"/>
  <c r="G11" i="21" s="1"/>
  <c r="I11" i="21" s="1"/>
  <c r="J11" i="21" s="1"/>
  <c r="F12" i="21" a="1"/>
  <c r="F12" i="21" s="1"/>
  <c r="G12" i="21" s="1"/>
  <c r="I12" i="21" s="1"/>
  <c r="J12" i="21" s="1"/>
  <c r="F6" i="12" a="1"/>
  <c r="F6" i="12" s="1"/>
  <c r="G6" i="12" s="1"/>
  <c r="I6" i="12" s="1"/>
  <c r="J6" i="12" s="1"/>
  <c r="F13" i="5" a="1"/>
  <c r="F13" i="5" s="1"/>
  <c r="G13" i="5" s="1"/>
  <c r="I13" i="5" s="1"/>
  <c r="J13" i="5" s="1"/>
  <c r="F8" i="21" l="1" a="1"/>
  <c r="F8" i="21" s="1"/>
  <c r="G8" i="21" s="1"/>
  <c r="I8" i="21" s="1"/>
  <c r="J8" i="21" s="1"/>
  <c r="F10" i="29" l="1" a="1"/>
  <c r="F10" i="29" s="1"/>
  <c r="G10" i="29" s="1"/>
  <c r="I10" i="29" s="1"/>
  <c r="J10" i="29" s="1"/>
  <c r="F10" i="19" a="1"/>
  <c r="F10" i="19" s="1"/>
  <c r="G10" i="19" s="1"/>
  <c r="I10" i="19" s="1"/>
  <c r="J10" i="19" s="1"/>
  <c r="F9" i="19" a="1"/>
  <c r="F9" i="19" s="1"/>
  <c r="G9" i="19" s="1"/>
  <c r="I9" i="19" s="1"/>
  <c r="J9" i="19" s="1"/>
  <c r="D16" i="19"/>
  <c r="F18" i="5" l="1" a="1"/>
  <c r="F18" i="5" s="1"/>
  <c r="G18" i="5" s="1"/>
  <c r="I18" i="5" s="1"/>
  <c r="J18" i="5" s="1"/>
  <c r="F13" i="13" l="1" a="1"/>
  <c r="F13" i="13" s="1"/>
  <c r="G13" i="13" s="1"/>
  <c r="I13" i="13" s="1"/>
  <c r="J13" i="13" s="1"/>
  <c r="F12" i="13" a="1"/>
  <c r="F12" i="13" s="1"/>
  <c r="G12" i="13" s="1"/>
  <c r="I12" i="13" s="1"/>
  <c r="J12" i="13" s="1"/>
  <c r="F9" i="25" a="1"/>
  <c r="F9" i="25" s="1"/>
  <c r="G9" i="25" s="1"/>
  <c r="I9" i="25" s="1"/>
  <c r="J9" i="25" s="1"/>
  <c r="F10" i="25" a="1"/>
  <c r="F10" i="25" s="1"/>
  <c r="G10" i="25" s="1"/>
  <c r="I10" i="25" s="1"/>
  <c r="J10" i="25" s="1"/>
  <c r="F6" i="25" a="1"/>
  <c r="F6" i="25" s="1"/>
  <c r="G6" i="25" s="1"/>
  <c r="I6" i="25" s="1"/>
  <c r="J6" i="25" s="1"/>
  <c r="F7" i="25" a="1"/>
  <c r="F7" i="25" s="1"/>
  <c r="G7" i="25" s="1"/>
  <c r="I7" i="25" s="1"/>
  <c r="J7" i="25" s="1"/>
  <c r="F8" i="25" a="1"/>
  <c r="F8" i="25" s="1"/>
  <c r="G8" i="25" s="1"/>
  <c r="I8" i="25" s="1"/>
  <c r="J8" i="25" s="1"/>
  <c r="F17" i="15" a="1"/>
  <c r="F17" i="15" s="1"/>
  <c r="G17" i="15" s="1"/>
  <c r="I17" i="15" s="1"/>
  <c r="J17" i="15" s="1"/>
  <c r="F14" i="15" a="1"/>
  <c r="F14" i="15" s="1"/>
  <c r="G14" i="15" s="1"/>
  <c r="I14" i="15" s="1"/>
  <c r="J14" i="15" s="1"/>
  <c r="D13" i="40"/>
  <c r="D10" i="51"/>
  <c r="F6" i="17" l="1" a="1"/>
  <c r="F6" i="17" s="1"/>
  <c r="G6" i="17" s="1"/>
  <c r="I6" i="17" s="1"/>
  <c r="J6" i="17" s="1"/>
  <c r="F8" i="17" a="1"/>
  <c r="F8" i="17" s="1"/>
  <c r="G8" i="17" s="1"/>
  <c r="I8" i="17" s="1"/>
  <c r="J8" i="17" s="1"/>
  <c r="C2" i="57" l="1"/>
  <c r="B12" i="33" s="1"/>
  <c r="B14" i="30"/>
  <c r="D14" i="57"/>
  <c r="C12" i="33" s="1"/>
  <c r="B15" i="4" l="1"/>
  <c r="F8" i="5" a="1"/>
  <c r="F8" i="5" s="1"/>
  <c r="G8" i="5" s="1"/>
  <c r="I8" i="5" s="1"/>
  <c r="J8" i="5" s="1"/>
  <c r="A2" i="21"/>
  <c r="I2" i="21"/>
  <c r="A3" i="21"/>
  <c r="F5" i="21" a="1"/>
  <c r="F5" i="21" s="1"/>
  <c r="G5" i="21" s="1"/>
  <c r="I5" i="21" s="1"/>
  <c r="J5" i="21" s="1"/>
  <c r="F13" i="21" a="1"/>
  <c r="F13" i="21" s="1"/>
  <c r="G13" i="21" s="1"/>
  <c r="I13" i="21" s="1"/>
  <c r="J13" i="21" s="1"/>
  <c r="F17" i="5" l="1" a="1"/>
  <c r="F17" i="5" s="1"/>
  <c r="G17" i="5" s="1"/>
  <c r="I17" i="5" s="1"/>
  <c r="J17" i="5" s="1"/>
  <c r="F9" i="17" a="1"/>
  <c r="F9" i="17" s="1"/>
  <c r="G9" i="17" s="1"/>
  <c r="I9" i="17" s="1"/>
  <c r="J9" i="17" s="1"/>
  <c r="E32" i="13"/>
  <c r="F9" i="29" l="1" a="1"/>
  <c r="F9" i="29" s="1"/>
  <c r="G9" i="29" s="1"/>
  <c r="I9" i="29" s="1"/>
  <c r="J9" i="29" s="1"/>
  <c r="F7" i="5" l="1" a="1"/>
  <c r="F7" i="5" s="1"/>
  <c r="G7" i="5" s="1"/>
  <c r="I7" i="5" s="1"/>
  <c r="J7" i="5" s="1"/>
  <c r="F9" i="20" a="1"/>
  <c r="F9" i="20" s="1"/>
  <c r="G9" i="20" s="1"/>
  <c r="I9" i="20" s="1"/>
  <c r="J9" i="20" s="1"/>
  <c r="F8" i="20" a="1"/>
  <c r="F8" i="20" s="1"/>
  <c r="G8" i="20" s="1"/>
  <c r="I8" i="20" s="1"/>
  <c r="J8" i="20" s="1"/>
  <c r="I2" i="5"/>
  <c r="D2" i="61" s="1"/>
  <c r="B4" i="4"/>
  <c r="F5" i="25" l="1" a="1"/>
  <c r="F5" i="25" s="1"/>
  <c r="G5" i="25" s="1"/>
  <c r="I2" i="25" l="1"/>
  <c r="D2" i="51" s="1"/>
  <c r="F11" i="13" l="1" a="1"/>
  <c r="F11" i="13" s="1"/>
  <c r="G11" i="13" s="1"/>
  <c r="I11" i="13" s="1"/>
  <c r="J11" i="13" s="1"/>
  <c r="F7" i="29" a="1"/>
  <c r="F7" i="29" s="1"/>
  <c r="G7" i="29" s="1"/>
  <c r="I7" i="29" s="1"/>
  <c r="J7" i="29" s="1"/>
  <c r="F6" i="5" a="1"/>
  <c r="F6" i="5" s="1"/>
  <c r="G6" i="5" s="1"/>
  <c r="I6" i="5" s="1"/>
  <c r="J6" i="5" s="1"/>
  <c r="B4" i="30" l="1"/>
  <c r="B5" i="30"/>
  <c r="B6" i="30"/>
  <c r="B7" i="30"/>
  <c r="B8" i="30"/>
  <c r="B9" i="30"/>
  <c r="B10" i="30"/>
  <c r="B11" i="30"/>
  <c r="B12" i="30"/>
  <c r="B13" i="30"/>
  <c r="F5" i="20" l="1" a="1"/>
  <c r="F5" i="20" s="1"/>
  <c r="C1" i="30" l="1"/>
  <c r="E33" i="13" l="1"/>
  <c r="E22" i="25" l="1"/>
  <c r="E21" i="25"/>
  <c r="E20" i="25"/>
  <c r="E19" i="25"/>
  <c r="A3" i="5" l="1"/>
  <c r="A3" i="20"/>
  <c r="A3" i="12"/>
  <c r="A3" i="13"/>
  <c r="A3" i="17"/>
  <c r="A3" i="16"/>
  <c r="A3" i="15"/>
  <c r="A3" i="19"/>
  <c r="A3" i="26"/>
  <c r="A3" i="29"/>
  <c r="A3" i="25"/>
  <c r="C22" i="25" l="1"/>
  <c r="C21" i="25"/>
  <c r="C20" i="25"/>
  <c r="C19" i="25"/>
  <c r="C18" i="25"/>
  <c r="C17" i="25"/>
  <c r="C23" i="29" l="1"/>
  <c r="F5" i="29" l="1" a="1"/>
  <c r="F5" i="29" s="1"/>
  <c r="G5" i="29" s="1"/>
  <c r="I5" i="29" s="1"/>
  <c r="J5" i="29" s="1"/>
  <c r="I5" i="25"/>
  <c r="J5" i="25" s="1"/>
  <c r="F5" i="19" a="1"/>
  <c r="F5" i="19" s="1"/>
  <c r="G5" i="19" s="1"/>
  <c r="I5" i="19" s="1"/>
  <c r="F5" i="15" a="1"/>
  <c r="F5" i="15" s="1"/>
  <c r="G5" i="15" s="1"/>
  <c r="I5" i="15" s="1"/>
  <c r="J5" i="15" s="1"/>
  <c r="F5" i="17" a="1"/>
  <c r="F5" i="17" s="1"/>
  <c r="G5" i="17" s="1"/>
  <c r="I5" i="17" s="1"/>
  <c r="J5" i="17" s="1"/>
  <c r="F5" i="13" a="1"/>
  <c r="F5" i="13" s="1"/>
  <c r="G5" i="13" s="1"/>
  <c r="I5" i="13" s="1"/>
  <c r="J5" i="13" s="1"/>
  <c r="F5" i="12" a="1"/>
  <c r="F5" i="12" s="1"/>
  <c r="G5" i="12" s="1"/>
  <c r="I5" i="12" s="1"/>
  <c r="J5" i="12" s="1"/>
  <c r="G5" i="20"/>
  <c r="I5" i="20" s="1"/>
  <c r="J5" i="20" s="1"/>
  <c r="F5" i="5" a="1"/>
  <c r="F5" i="5" s="1"/>
  <c r="G5" i="5" s="1"/>
  <c r="I5" i="5" s="1"/>
  <c r="J5" i="5" s="1"/>
  <c r="J5" i="19" l="1"/>
  <c r="F18" i="29" a="1"/>
  <c r="F18" i="29" s="1"/>
  <c r="G18" i="29" s="1"/>
  <c r="I18" i="29" s="1"/>
  <c r="J18" i="29" s="1"/>
  <c r="F8" i="26" a="1"/>
  <c r="F8" i="26" s="1"/>
  <c r="G8" i="26" s="1"/>
  <c r="I8" i="26" s="1"/>
  <c r="J8" i="26" s="1"/>
  <c r="F11" i="25" a="1"/>
  <c r="F11" i="25" s="1"/>
  <c r="G11" i="25" s="1"/>
  <c r="I11" i="25" s="1"/>
  <c r="F18" i="21" a="1"/>
  <c r="F18" i="21" s="1"/>
  <c r="G18" i="21" s="1"/>
  <c r="I18" i="21" s="1"/>
  <c r="J18" i="21" s="1"/>
  <c r="F18" i="15" a="1"/>
  <c r="F18" i="15" s="1"/>
  <c r="G18" i="15" s="1"/>
  <c r="I18" i="15" s="1"/>
  <c r="J18" i="15" s="1"/>
  <c r="F7" i="15" a="1"/>
  <c r="F7" i="15" s="1"/>
  <c r="G7" i="15" s="1"/>
  <c r="I7" i="15" s="1"/>
  <c r="J7" i="15" s="1"/>
  <c r="F21" i="17" a="1"/>
  <c r="F21" i="17" s="1"/>
  <c r="G21" i="17" s="1"/>
  <c r="I21" i="17" s="1"/>
  <c r="J21" i="17" s="1"/>
  <c r="F17" i="17" a="1"/>
  <c r="F17" i="17" s="1"/>
  <c r="G17" i="17" s="1"/>
  <c r="I17" i="17" s="1"/>
  <c r="J17" i="17" s="1"/>
  <c r="F23" i="16" a="1"/>
  <c r="F23" i="16" s="1"/>
  <c r="G23" i="16" s="1"/>
  <c r="I23" i="16" s="1"/>
  <c r="J23" i="16" s="1"/>
  <c r="F22" i="13" a="1"/>
  <c r="F22" i="13" s="1"/>
  <c r="G22" i="13" s="1"/>
  <c r="I22" i="13" s="1"/>
  <c r="J22" i="13" s="1"/>
  <c r="F10" i="13" a="1"/>
  <c r="F10" i="13" s="1"/>
  <c r="G10" i="13" s="1"/>
  <c r="I10" i="13" s="1"/>
  <c r="J10" i="13" s="1"/>
  <c r="F8" i="13" a="1"/>
  <c r="F8" i="13" s="1"/>
  <c r="G8" i="13" s="1"/>
  <c r="I8" i="13" s="1"/>
  <c r="J8" i="13" s="1"/>
  <c r="F7" i="13" a="1"/>
  <c r="F7" i="13" s="1"/>
  <c r="G7" i="13" s="1"/>
  <c r="I7" i="13" s="1"/>
  <c r="J7" i="13" s="1"/>
  <c r="F16" i="12" a="1"/>
  <c r="F16" i="12" s="1"/>
  <c r="G16" i="12" s="1"/>
  <c r="I16" i="12" s="1"/>
  <c r="J16" i="12" s="1"/>
  <c r="F19" i="20" a="1"/>
  <c r="F19" i="20" s="1"/>
  <c r="G19" i="20" s="1"/>
  <c r="I19" i="20" s="1"/>
  <c r="J19" i="20" s="1"/>
  <c r="F6" i="20" a="1"/>
  <c r="F6" i="20" s="1"/>
  <c r="G6" i="20" s="1"/>
  <c r="I6" i="20" s="1"/>
  <c r="J6" i="20" s="1"/>
  <c r="I16" i="19" l="1"/>
  <c r="J16" i="19"/>
  <c r="J24" i="16"/>
  <c r="I24" i="16"/>
  <c r="J22" i="17"/>
  <c r="I22" i="17"/>
  <c r="J11" i="25"/>
  <c r="E29" i="29"/>
  <c r="E28" i="29"/>
  <c r="E27" i="29"/>
  <c r="E26" i="29"/>
  <c r="C29" i="29"/>
  <c r="C27" i="29"/>
  <c r="C26" i="29"/>
  <c r="C25" i="29"/>
  <c r="E19" i="26"/>
  <c r="E18" i="26"/>
  <c r="E17" i="26"/>
  <c r="E16" i="26"/>
  <c r="C14" i="26" l="1"/>
  <c r="C24" i="21"/>
  <c r="C21" i="19"/>
  <c r="C24" i="15"/>
  <c r="C29" i="16"/>
  <c r="C27" i="17"/>
  <c r="C28" i="13"/>
  <c r="C22" i="12"/>
  <c r="C25" i="20"/>
  <c r="C24" i="29"/>
  <c r="B24" i="29"/>
  <c r="B14" i="26"/>
  <c r="B17" i="25"/>
  <c r="B24" i="21"/>
  <c r="B21" i="19"/>
  <c r="B24" i="15"/>
  <c r="B29" i="16"/>
  <c r="B27" i="17"/>
  <c r="B28" i="13"/>
  <c r="B22" i="12"/>
  <c r="B25" i="20"/>
  <c r="D19" i="29"/>
  <c r="B29" i="29"/>
  <c r="B28" i="29"/>
  <c r="B27" i="29"/>
  <c r="B26" i="29"/>
  <c r="B25" i="29"/>
  <c r="C33" i="5"/>
  <c r="B33" i="5"/>
  <c r="J19" i="29" l="1"/>
  <c r="C21" i="29" s="1"/>
  <c r="I19" i="29"/>
  <c r="A2" i="57"/>
  <c r="C2" i="54"/>
  <c r="B11" i="33" s="1"/>
  <c r="D6" i="54"/>
  <c r="C11" i="33" s="1"/>
  <c r="A2" i="54"/>
  <c r="C22" i="29" l="1"/>
  <c r="C13" i="26"/>
  <c r="F27" i="5" a="1"/>
  <c r="F27" i="5" s="1"/>
  <c r="G27" i="5" s="1"/>
  <c r="I27" i="5" s="1"/>
  <c r="J27" i="5" s="1"/>
  <c r="F14" i="5" a="1"/>
  <c r="F14" i="5" s="1"/>
  <c r="G14" i="5" s="1"/>
  <c r="I14" i="5" s="1"/>
  <c r="J14" i="5" s="1"/>
  <c r="F12" i="5" a="1"/>
  <c r="F12" i="5" s="1"/>
  <c r="G12" i="5" s="1"/>
  <c r="I12" i="5" s="1"/>
  <c r="J12" i="5" s="1"/>
  <c r="D17" i="12"/>
  <c r="C30" i="29" l="1"/>
  <c r="C14" i="30" s="1"/>
  <c r="J17" i="12"/>
  <c r="I17" i="12"/>
  <c r="I2" i="20" l="1"/>
  <c r="I2" i="12"/>
  <c r="I2" i="13"/>
  <c r="I2" i="17"/>
  <c r="I2" i="16"/>
  <c r="I2" i="15"/>
  <c r="I2" i="19"/>
  <c r="I2" i="26"/>
  <c r="D2" i="54" s="1"/>
  <c r="I2" i="29"/>
  <c r="D2" i="57" s="1"/>
  <c r="D1" i="33" l="1"/>
  <c r="D15" i="37"/>
  <c r="C3" i="33" s="1"/>
  <c r="D14" i="39"/>
  <c r="C4" i="33" s="1"/>
  <c r="C5" i="33"/>
  <c r="D14" i="42"/>
  <c r="C6" i="33" s="1"/>
  <c r="D17" i="43"/>
  <c r="C7" i="33" s="1"/>
  <c r="C8" i="33"/>
  <c r="C9" i="33"/>
  <c r="C10" i="33"/>
  <c r="C2" i="51"/>
  <c r="B13" i="33" s="1"/>
  <c r="A2" i="51"/>
  <c r="D2" i="47"/>
  <c r="C2" i="47"/>
  <c r="B10" i="33" s="1"/>
  <c r="A2" i="47"/>
  <c r="D2" i="46"/>
  <c r="C2" i="46"/>
  <c r="B9" i="33" s="1"/>
  <c r="A2" i="46"/>
  <c r="D2" i="44"/>
  <c r="C2" i="44"/>
  <c r="B8" i="33" s="1"/>
  <c r="A2" i="44"/>
  <c r="D2" i="43"/>
  <c r="C2" i="43"/>
  <c r="B7" i="33" s="1"/>
  <c r="A2" i="43"/>
  <c r="D2" i="42"/>
  <c r="C2" i="42"/>
  <c r="B6" i="33" s="1"/>
  <c r="A2" i="42"/>
  <c r="D2" i="40"/>
  <c r="C2" i="40"/>
  <c r="B5" i="33" s="1"/>
  <c r="A2" i="40"/>
  <c r="D2" i="39"/>
  <c r="C2" i="39"/>
  <c r="B4" i="33" s="1"/>
  <c r="A2" i="39"/>
  <c r="D2" i="37"/>
  <c r="C2" i="37"/>
  <c r="B3" i="33" s="1"/>
  <c r="A2" i="37"/>
  <c r="L24" i="4"/>
  <c r="C17" i="33" l="1"/>
  <c r="C13" i="33"/>
  <c r="C16" i="25"/>
  <c r="C23" i="15"/>
  <c r="C21" i="12"/>
  <c r="C24" i="20"/>
  <c r="C20" i="19"/>
  <c r="C27" i="13"/>
  <c r="C23" i="21"/>
  <c r="C26" i="17"/>
  <c r="C28" i="16"/>
  <c r="E35" i="5"/>
  <c r="C19" i="26" l="1"/>
  <c r="C18" i="26"/>
  <c r="C17" i="26"/>
  <c r="C16" i="26"/>
  <c r="C15" i="26"/>
  <c r="B22" i="25" l="1"/>
  <c r="B21" i="25"/>
  <c r="B20" i="25"/>
  <c r="B19" i="25"/>
  <c r="B18" i="25"/>
  <c r="D12" i="25"/>
  <c r="B19" i="26"/>
  <c r="B18" i="26"/>
  <c r="B17" i="26"/>
  <c r="B16" i="26"/>
  <c r="B15" i="26"/>
  <c r="D9" i="26"/>
  <c r="I12" i="25" l="1"/>
  <c r="J12" i="25"/>
  <c r="C14" i="25" s="1"/>
  <c r="I9" i="26"/>
  <c r="J9" i="26"/>
  <c r="C11" i="26" s="1"/>
  <c r="B12" i="4"/>
  <c r="C15" i="25" l="1"/>
  <c r="C12" i="26"/>
  <c r="C20" i="26" s="1"/>
  <c r="E29" i="21"/>
  <c r="E28" i="21"/>
  <c r="E27" i="21"/>
  <c r="E26" i="21"/>
  <c r="E26" i="19"/>
  <c r="E25" i="19"/>
  <c r="E24" i="19"/>
  <c r="E23" i="19"/>
  <c r="E29" i="15"/>
  <c r="E28" i="15"/>
  <c r="E27" i="15"/>
  <c r="E26" i="15"/>
  <c r="E34" i="16"/>
  <c r="E33" i="16"/>
  <c r="E32" i="16"/>
  <c r="E31" i="16"/>
  <c r="E32" i="17"/>
  <c r="E31" i="17"/>
  <c r="E30" i="17"/>
  <c r="E29" i="17"/>
  <c r="E31" i="13"/>
  <c r="E30" i="13"/>
  <c r="E27" i="12"/>
  <c r="E26" i="12"/>
  <c r="E25" i="12"/>
  <c r="E24" i="12"/>
  <c r="E30" i="20"/>
  <c r="E29" i="20"/>
  <c r="E28" i="20"/>
  <c r="E27" i="20"/>
  <c r="C23" i="25" l="1"/>
  <c r="C15" i="30" s="1"/>
  <c r="C13" i="30"/>
  <c r="E38" i="5"/>
  <c r="E37" i="5"/>
  <c r="E36" i="5"/>
  <c r="D28" i="5" l="1"/>
  <c r="D20" i="20"/>
  <c r="D23" i="13"/>
  <c r="D22" i="17"/>
  <c r="D24" i="16"/>
  <c r="D19" i="15"/>
  <c r="D19" i="21"/>
  <c r="J28" i="5" l="1"/>
  <c r="I28" i="5"/>
  <c r="J20" i="20"/>
  <c r="I20" i="20"/>
  <c r="I23" i="13"/>
  <c r="J23" i="13"/>
  <c r="I19" i="15"/>
  <c r="J19" i="15"/>
  <c r="I19" i="21"/>
  <c r="J19" i="21"/>
  <c r="C30" i="5" l="1"/>
  <c r="C22" i="20"/>
  <c r="C19" i="12"/>
  <c r="C25" i="13"/>
  <c r="C24" i="17"/>
  <c r="C26" i="16"/>
  <c r="C21" i="15"/>
  <c r="C18" i="19"/>
  <c r="C21" i="21"/>
  <c r="A2" i="29" l="1"/>
  <c r="A2" i="26"/>
  <c r="A2" i="25"/>
  <c r="A2" i="15"/>
  <c r="A2" i="16"/>
  <c r="A2" i="17"/>
  <c r="A2" i="13"/>
  <c r="A2" i="12"/>
  <c r="A2" i="20"/>
  <c r="A2" i="5"/>
  <c r="C29" i="21" l="1"/>
  <c r="C28" i="21"/>
  <c r="C27" i="21"/>
  <c r="C26" i="21"/>
  <c r="C25" i="21"/>
  <c r="C26" i="19"/>
  <c r="C25" i="19"/>
  <c r="C24" i="19"/>
  <c r="C23" i="19"/>
  <c r="C22" i="19"/>
  <c r="C29" i="15"/>
  <c r="C28" i="15"/>
  <c r="C27" i="15"/>
  <c r="C26" i="15"/>
  <c r="C25" i="15"/>
  <c r="C34" i="16"/>
  <c r="C33" i="16"/>
  <c r="C32" i="16"/>
  <c r="C31" i="16"/>
  <c r="C30" i="16"/>
  <c r="C32" i="17"/>
  <c r="C31" i="17"/>
  <c r="C30" i="17"/>
  <c r="C29" i="17"/>
  <c r="C28" i="17"/>
  <c r="C33" i="13"/>
  <c r="C32" i="13"/>
  <c r="C31" i="13"/>
  <c r="C30" i="13"/>
  <c r="C29" i="13"/>
  <c r="C27" i="12"/>
  <c r="C26" i="12"/>
  <c r="C25" i="12"/>
  <c r="C24" i="12"/>
  <c r="C23" i="12"/>
  <c r="C30" i="20"/>
  <c r="C29" i="20"/>
  <c r="C28" i="20"/>
  <c r="C27" i="20"/>
  <c r="C26" i="20"/>
  <c r="B14" i="4"/>
  <c r="B13" i="4"/>
  <c r="B11" i="4"/>
  <c r="B10" i="4"/>
  <c r="B9" i="4"/>
  <c r="B8" i="4"/>
  <c r="B7" i="4"/>
  <c r="B29" i="21"/>
  <c r="B28" i="21"/>
  <c r="B27" i="21"/>
  <c r="B26" i="21"/>
  <c r="B25" i="21"/>
  <c r="B30" i="20"/>
  <c r="B29" i="20"/>
  <c r="B28" i="20"/>
  <c r="B27" i="20"/>
  <c r="B26" i="20"/>
  <c r="B26" i="19"/>
  <c r="B25" i="19"/>
  <c r="B24" i="19"/>
  <c r="B23" i="19"/>
  <c r="B22" i="19"/>
  <c r="C22" i="21" l="1"/>
  <c r="C23" i="20"/>
  <c r="C19" i="19"/>
  <c r="C30" i="21" l="1"/>
  <c r="C12" i="30" s="1"/>
  <c r="C27" i="19"/>
  <c r="C11" i="30" s="1"/>
  <c r="C31" i="20"/>
  <c r="C5" i="30" s="1"/>
  <c r="B32" i="17"/>
  <c r="B31" i="17"/>
  <c r="B30" i="17"/>
  <c r="B29" i="17"/>
  <c r="B28" i="17"/>
  <c r="B34" i="16"/>
  <c r="B33" i="16"/>
  <c r="B32" i="16"/>
  <c r="B31" i="16"/>
  <c r="B30" i="16"/>
  <c r="B29" i="15"/>
  <c r="B28" i="15"/>
  <c r="B27" i="15"/>
  <c r="B26" i="15"/>
  <c r="B25" i="15"/>
  <c r="B33" i="13" l="1"/>
  <c r="B32" i="13"/>
  <c r="B31" i="13"/>
  <c r="B30" i="13"/>
  <c r="B29" i="13"/>
  <c r="B27" i="12"/>
  <c r="B26" i="12"/>
  <c r="B25" i="12"/>
  <c r="B24" i="12"/>
  <c r="B23" i="12"/>
  <c r="B5" i="4"/>
  <c r="C38" i="5"/>
  <c r="B38" i="5"/>
  <c r="C37" i="5"/>
  <c r="B37" i="5"/>
  <c r="C36" i="5"/>
  <c r="B36" i="5"/>
  <c r="C35" i="5"/>
  <c r="B35" i="5"/>
  <c r="C34" i="5"/>
  <c r="B34" i="5"/>
  <c r="K23" i="4"/>
  <c r="I23" i="4"/>
  <c r="G23" i="4"/>
  <c r="E23" i="4"/>
  <c r="D23" i="4"/>
  <c r="C23" i="4"/>
  <c r="C25" i="17" l="1"/>
  <c r="C27" i="16"/>
  <c r="C22" i="15"/>
  <c r="C30" i="15" l="1"/>
  <c r="C10" i="30" s="1"/>
  <c r="C35" i="16"/>
  <c r="C9" i="30" s="1"/>
  <c r="C33" i="17"/>
  <c r="C8" i="30" s="1"/>
  <c r="C26" i="13"/>
  <c r="C20" i="12"/>
  <c r="C31" i="5"/>
  <c r="C28" i="12" l="1"/>
  <c r="C6" i="30" s="1"/>
  <c r="C34" i="13"/>
  <c r="C7" i="30" s="1"/>
  <c r="C39" i="5"/>
  <c r="C4" i="30" s="1"/>
  <c r="C21" i="3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<sst xmlns="http://schemas.openxmlformats.org/spreadsheetml/2006/main" count="1345" uniqueCount="369">
  <si>
    <t>สรุปค่าบรรทุกรถร่วมกระจายสินค้าสาขานครสวรรค์</t>
  </si>
  <si>
    <t>ปลายทาง</t>
  </si>
  <si>
    <t>ราคา</t>
  </si>
  <si>
    <t>เป็นเงิน</t>
  </si>
  <si>
    <t>พิเศษ</t>
  </si>
  <si>
    <t>ราคารวม</t>
  </si>
  <si>
    <t>หมายเหตุ</t>
  </si>
  <si>
    <t>ยอดรวม</t>
  </si>
  <si>
    <t>สรุป</t>
  </si>
  <si>
    <t>รายได้ทั้งหมด</t>
  </si>
  <si>
    <t>บาท</t>
  </si>
  <si>
    <t>หัก 1 %</t>
  </si>
  <si>
    <t>รวมรับสุทธิ</t>
  </si>
  <si>
    <t>ลำดับที่</t>
  </si>
  <si>
    <t>ราคาชิ้น</t>
  </si>
  <si>
    <t>ราคาเหมา</t>
  </si>
  <si>
    <t>จ่ายรายชิ้นเพิ่ม มากกว่า 220 ชิ้น</t>
  </si>
  <si>
    <t>สถานที่</t>
  </si>
  <si>
    <t>ราคาค่าเที่ยววิ่ง</t>
  </si>
  <si>
    <t>อ.เมือง  จ.ชัยนาท</t>
  </si>
  <si>
    <t>อ.วัดสิงห์  จ.ชัยนาท</t>
  </si>
  <si>
    <t>อ.มโนรมย์  จ.ชัยนาท</t>
  </si>
  <si>
    <t>อ.สรรพยา  จ.ชัยนาท</t>
  </si>
  <si>
    <t>อ.สรรคบุรี  จ.ชัยนาท</t>
  </si>
  <si>
    <t>อ.หันคา  จ.ชัยนาท</t>
  </si>
  <si>
    <t>อ.เนินขาม  จ.ชัยนาท</t>
  </si>
  <si>
    <t>อ.เมือง  จ.พิจิตร</t>
  </si>
  <si>
    <t>อ.ทับคล้อ  จ.พิจิตร</t>
  </si>
  <si>
    <t>อ.สากเหล็ก  จ.พิจิตร</t>
  </si>
  <si>
    <t>อ.บึงนาราง  จ.พิจิตร</t>
  </si>
  <si>
    <t>อ.โพทะเล  จ.พิจิตร</t>
  </si>
  <si>
    <t>อ.บางมูลนาก  จ.พิจิตร</t>
  </si>
  <si>
    <t>อ.โพธิ์ประทับช้าง  จ.พิจิตร</t>
  </si>
  <si>
    <t>อ.วชิรบารมี  จ.พิจิตร</t>
  </si>
  <si>
    <t>อ.ตะพานหิน  จ.พิจิตร</t>
  </si>
  <si>
    <t>อ.ดงเจริญ  จ.พิจิตร</t>
  </si>
  <si>
    <t>อ.สามง่าม  จ.พิจิตร</t>
  </si>
  <si>
    <t>ค่าขนส่ง</t>
  </si>
  <si>
    <t>อ.วังทรายพูน  จ.พิจิตร</t>
  </si>
  <si>
    <t>อ.หนองมะโมง  จ.ชัยนาท</t>
  </si>
  <si>
    <t xml:space="preserve"> =INDEX(ข้อมูล!$H$3:$H$250,MATCH(1,IF(ข้อมูล!$B$3:$B$250=$E45,IF(ข้อมูล!$C$3:$C$250=$F45,IF(ข้อมูล!$D$3:$D$250=$G45,1))),0))</t>
  </si>
  <si>
    <t>ทะเบียน</t>
  </si>
  <si>
    <t>หักค่าโทรศัพท์</t>
  </si>
  <si>
    <t>หักค่ายืมเงิน</t>
  </si>
  <si>
    <t>อ.เมือง  จ.นว</t>
  </si>
  <si>
    <t>อ.เก้าเลี้ยว  จ.นว</t>
  </si>
  <si>
    <t>อ.โกรกพระ  จ.นว</t>
  </si>
  <si>
    <t>อ.บรรพตพิสัย  จ.นว</t>
  </si>
  <si>
    <t>อ.ชุมแสง  จ.นว</t>
  </si>
  <si>
    <t>อ.ลาดยาว  จ.นว</t>
  </si>
  <si>
    <t>อ.ท่าตะโก  จ.นว</t>
  </si>
  <si>
    <t>อ.ไพศาลี  จ.นว</t>
  </si>
  <si>
    <t>อ.หนองบัว  จ.นว</t>
  </si>
  <si>
    <t>อ.แม่วงก์  จ.นว</t>
  </si>
  <si>
    <t>อ.ชุมตาบง  จ.นว</t>
  </si>
  <si>
    <t>อ.ตาคลี  จ.นว</t>
  </si>
  <si>
    <t>อ.ตากฟ้า  จ.นว</t>
  </si>
  <si>
    <t>อ.แม่เปิน  จ.นว</t>
  </si>
  <si>
    <t>อ.สว่างอารมณ์  จ.อุทัย</t>
  </si>
  <si>
    <t>อ.หนองฉาง  จ.อุทัย</t>
  </si>
  <si>
    <t>อ.เมือง  จ.อุทัย</t>
  </si>
  <si>
    <t>อ.หนองขาหย่าง  จ.อุทัย</t>
  </si>
  <si>
    <t>อ.ทัพทัพ  จ.อุทัย</t>
  </si>
  <si>
    <t>อ.ห้วยคต  จ.อุทัย</t>
  </si>
  <si>
    <t>อ.ลานสัก  จ.อุทัย</t>
  </si>
  <si>
    <t>อ.บ้านไร่  จ.อุทัย</t>
  </si>
  <si>
    <t>อ.บึงสามพัน  จ.พช</t>
  </si>
  <si>
    <t>อ.วิเชียรบุรี  จ.พช</t>
  </si>
  <si>
    <t>อ.หนองไผ่  จ.พช</t>
  </si>
  <si>
    <t>อ.ชนแดน  จ.พช</t>
  </si>
  <si>
    <t>อ.วังโป่ง  จ.พช</t>
  </si>
  <si>
    <t>อ.ศรีเทพ  จ.พช</t>
  </si>
  <si>
    <t>อ.เมือง  จ.พช</t>
  </si>
  <si>
    <t>รายการหัก</t>
  </si>
  <si>
    <t>หักค่าน้ำมัน</t>
  </si>
  <si>
    <t>ลำดับ</t>
  </si>
  <si>
    <t>งวดที่</t>
  </si>
  <si>
    <t>รวม</t>
  </si>
  <si>
    <t>หักค่าประกัน</t>
  </si>
  <si>
    <t>บธ-1548</t>
  </si>
  <si>
    <t>บจ-3469</t>
  </si>
  <si>
    <t>ผจ-591</t>
  </si>
  <si>
    <t>บล-8604</t>
  </si>
  <si>
    <t>ผฉ-1941</t>
  </si>
  <si>
    <t>บธ-2515</t>
  </si>
  <si>
    <t>ผฉ-3572</t>
  </si>
  <si>
    <t>ผฉ-4812</t>
  </si>
  <si>
    <t>ผค-7747</t>
  </si>
  <si>
    <t>ผฉ-302 ตู้</t>
  </si>
  <si>
    <t>ผฉ-3101 ตู้</t>
  </si>
  <si>
    <t>ผฉ-6108 ตู้</t>
  </si>
  <si>
    <t>3ฒต-983 ตู้</t>
  </si>
  <si>
    <t>ผฉ-9154</t>
  </si>
  <si>
    <t>อ.พยุหะคีรี  จ.นว</t>
  </si>
  <si>
    <t>3ฒพ-5552</t>
  </si>
  <si>
    <t>คอลัมน์1</t>
  </si>
  <si>
    <t>คอลัมน์2</t>
  </si>
  <si>
    <t>คอลัมน์3</t>
  </si>
  <si>
    <t>ว.ด.ป.</t>
  </si>
  <si>
    <t>ใบสั่งเติมน้ำมัน</t>
  </si>
  <si>
    <t>เป็นจำนวนเงิน(บาท)</t>
  </si>
  <si>
    <t>ผลรวม</t>
  </si>
  <si>
    <t>ชื่อ</t>
  </si>
  <si>
    <t>นายมาโนช ยนตะสุข</t>
  </si>
  <si>
    <t>นายสุรวุฒิ สิงห์รัง</t>
  </si>
  <si>
    <t>นายอาภากรณ์ หงษ์ยิ้ม</t>
  </si>
  <si>
    <t>นายวุฒิไกร เงินแจ้ง</t>
  </si>
  <si>
    <t>นายนพรัตน์ รัตนเพชร</t>
  </si>
  <si>
    <t>นายกัมปนาท คุ้มอักษร</t>
  </si>
  <si>
    <t>นายธนโชติ แสงกำแพง</t>
  </si>
  <si>
    <t>นายศราวุฒิ มังกร</t>
  </si>
  <si>
    <t>นายภักดี วัฒนพรหม</t>
  </si>
  <si>
    <t>นายสันติพงษ์ ทองเที่ยง</t>
  </si>
  <si>
    <t>นายกมล แสงจันทร์</t>
  </si>
  <si>
    <t>นายสุทัศน์ เสือเลี้ยง</t>
  </si>
  <si>
    <t>นายอนุสรณ์ พิมชะนะ</t>
  </si>
  <si>
    <t>นายลิขิต อยู่เต็มสุข</t>
  </si>
  <si>
    <t>นายชูวิทย์ เกิดพร้อม</t>
  </si>
  <si>
    <t>นายพีรธัช นิลสนธิ</t>
  </si>
  <si>
    <t>นายธนวัฒน์ อินเอี่ยม</t>
  </si>
  <si>
    <t>นายสายฟ้า วาฤทธิ์</t>
  </si>
  <si>
    <t>นายบุญชอบ บุญศรี</t>
  </si>
  <si>
    <t>นายสุเมธ ทรัพย์สำราญ</t>
  </si>
  <si>
    <t>วันที่ขึ้นของ</t>
  </si>
  <si>
    <t>เลขที่ใบกระจาย</t>
  </si>
  <si>
    <t>จำนวน/ชิ้น</t>
  </si>
  <si>
    <t>คงเหลือสุทธิ</t>
  </si>
  <si>
    <t>3ฒต-8523</t>
  </si>
  <si>
    <t>นายยม แป้นเจริญ</t>
  </si>
  <si>
    <t>หักค่าGPS</t>
  </si>
  <si>
    <t>ถก-42 ตู้</t>
  </si>
  <si>
    <t>หักค่าสัญญาณGPS รายปี</t>
  </si>
  <si>
    <t>ผต-3526</t>
  </si>
  <si>
    <t>เงินออกรอบ 5</t>
  </si>
  <si>
    <t>นายธนชัย ปานอุทัย</t>
  </si>
  <si>
    <t>ผต-6242</t>
  </si>
  <si>
    <t>ค่าแบกนาบิวตี้ 2 บาท/กล่อง</t>
  </si>
  <si>
    <t>ได้รับเอกสารแล้ว กรุณาตรวจสอบด้วยค่ะ ขอบคุณค่ะ</t>
  </si>
  <si>
    <t>ผจ-5663</t>
  </si>
  <si>
    <t>ค่าอัพเดทบิล</t>
  </si>
  <si>
    <t>บล-5334</t>
  </si>
  <si>
    <t>นางสาวพัชรี อุ่มชัย</t>
  </si>
  <si>
    <t>ผท-3888</t>
  </si>
  <si>
    <t xml:space="preserve"> </t>
  </si>
  <si>
    <t>ออก</t>
  </si>
  <si>
    <t>นายกัมปนาจ คุ้มอักษร</t>
  </si>
  <si>
    <t>ผท-4890</t>
  </si>
  <si>
    <t>ผท-6937</t>
  </si>
  <si>
    <t>มีหาร</t>
  </si>
  <si>
    <t xml:space="preserve">  </t>
  </si>
  <si>
    <t xml:space="preserve">                                                           </t>
  </si>
  <si>
    <t>10142</t>
  </si>
  <si>
    <t>10143</t>
  </si>
  <si>
    <t>10144</t>
  </si>
  <si>
    <t>10145</t>
  </si>
  <si>
    <t>รอบวันที่ 1-15 พฤษภาคม 2569</t>
  </si>
  <si>
    <t>2824</t>
  </si>
  <si>
    <t>2825</t>
  </si>
  <si>
    <t>2826</t>
  </si>
  <si>
    <t>2827</t>
  </si>
  <si>
    <t>2828</t>
  </si>
  <si>
    <t>2829</t>
  </si>
  <si>
    <t>2830</t>
  </si>
  <si>
    <t>2879</t>
  </si>
  <si>
    <t>2880</t>
  </si>
  <si>
    <t>2881</t>
  </si>
  <si>
    <t>2882</t>
  </si>
  <si>
    <t>2883</t>
  </si>
  <si>
    <t>2884</t>
  </si>
  <si>
    <t>2885</t>
  </si>
  <si>
    <t>2886</t>
  </si>
  <si>
    <t>3319</t>
  </si>
  <si>
    <t>3320</t>
  </si>
  <si>
    <t>3321</t>
  </si>
  <si>
    <t>3322</t>
  </si>
  <si>
    <t>3323</t>
  </si>
  <si>
    <t>3324</t>
  </si>
  <si>
    <t>3325</t>
  </si>
  <si>
    <t>3326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</si>
  <si>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</si>
  <si>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</si>
  <si>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</si>
  <si>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</si>
  <si>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</si>
  <si>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</si>
  <si>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</si>
  <si>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</si>
  <si>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</si>
  <si>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</si>
  <si>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</si>
  <si>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</si>
  <si>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</si>
  <si>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</si>
  <si>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</si>
  <si>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</si>
  <si>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</si>
  <si>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</si>
  <si>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</si>
  <si>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</si>
  <si>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</si>
  <si>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</si>
  <si>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</si>
  <si>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</si>
  <si>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</si>
  <si>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</si>
  <si>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</si>
  <si>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</si>
  <si>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</si>
  <si>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</si>
  <si>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</si>
  <si>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</si>
  <si>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</si>
  <si>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</si>
  <si>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</si>
  <si>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</si>
  <si>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</si>
  <si>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</si>
  <si>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</si>
  <si>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2996</t>
  </si>
  <si>
    <t>2997</t>
  </si>
  <si>
    <t>2998</t>
  </si>
  <si>
    <t>2999</t>
  </si>
  <si>
    <t>3000</t>
  </si>
  <si>
    <t>3451</t>
  </si>
  <si>
    <t>3452</t>
  </si>
  <si>
    <t>3453</t>
  </si>
  <si>
    <t>3454</t>
  </si>
  <si>
    <t>3455</t>
  </si>
  <si>
    <t>JB0326106883</t>
  </si>
  <si>
    <t>JB0326106884</t>
  </si>
  <si>
    <t>JB0326106896</t>
  </si>
  <si>
    <t>JB0326106912</t>
  </si>
  <si>
    <t>JB0326106913</t>
  </si>
  <si>
    <t>JB0326106935</t>
  </si>
  <si>
    <t>JB0326106942</t>
  </si>
  <si>
    <t>JB0326106966</t>
  </si>
  <si>
    <t>JB0326106995</t>
  </si>
  <si>
    <t>JB0326106996</t>
  </si>
  <si>
    <t>JB0326107013</t>
  </si>
  <si>
    <t>JB0326107014</t>
  </si>
  <si>
    <t>JB0326107039</t>
  </si>
  <si>
    <t>JB0326106813</t>
  </si>
  <si>
    <t>JB0326106814</t>
  </si>
  <si>
    <t>JB0326106819</t>
  </si>
  <si>
    <t>JB0326106820</t>
  </si>
  <si>
    <t>JB0326106846</t>
  </si>
  <si>
    <t>JB0326106847</t>
  </si>
  <si>
    <t>JB0326106857</t>
  </si>
  <si>
    <t>JB0326106858</t>
  </si>
  <si>
    <t>JB0326106881</t>
  </si>
  <si>
    <t>JB0326106900</t>
  </si>
  <si>
    <t>JB0326106901</t>
  </si>
  <si>
    <t>JB0326106915</t>
  </si>
  <si>
    <t>JB0326106934</t>
  </si>
  <si>
    <t>JB0326106960</t>
  </si>
  <si>
    <t>JB0326106989</t>
  </si>
  <si>
    <t>JB0326107012</t>
  </si>
  <si>
    <t>JB0326107035</t>
  </si>
  <si>
    <t>JB0326106812</t>
  </si>
  <si>
    <t>JB0326106817</t>
  </si>
  <si>
    <t>JB0326106818</t>
  </si>
  <si>
    <t>JB0326106848</t>
  </si>
  <si>
    <t>JB0326106849</t>
  </si>
  <si>
    <t>JB0326106859</t>
  </si>
  <si>
    <t>JB0326106860</t>
  </si>
  <si>
    <t>JB0326106861</t>
  </si>
  <si>
    <t>JB0326106885</t>
  </si>
  <si>
    <t>JB0326106886</t>
  </si>
  <si>
    <t>JB0326106895</t>
  </si>
  <si>
    <t>JB0326106932</t>
  </si>
  <si>
    <t>JB0326106933</t>
  </si>
  <si>
    <t>JB0326106979</t>
  </si>
  <si>
    <t>JB0326106998</t>
  </si>
  <si>
    <t>JB0326106999</t>
  </si>
  <si>
    <t>JB0326107003</t>
  </si>
  <si>
    <t>JB0326107004</t>
  </si>
  <si>
    <t>JB0326107011</t>
  </si>
  <si>
    <t>JB0326107042</t>
  </si>
  <si>
    <t>JB0326107038</t>
  </si>
  <si>
    <t>JB0326106811</t>
  </si>
  <si>
    <t>JB0326106843</t>
  </si>
  <si>
    <t>JB0326106899</t>
  </si>
  <si>
    <t>JB0326106894</t>
  </si>
  <si>
    <t>JB0326106980</t>
  </si>
  <si>
    <t>JB0326106981</t>
  </si>
  <si>
    <t>JB0326106997</t>
  </si>
  <si>
    <t>JB0326106806</t>
  </si>
  <si>
    <t>JB0326106807</t>
  </si>
  <si>
    <t>JB0326106816</t>
  </si>
  <si>
    <t>JB0326106831</t>
  </si>
  <si>
    <t>JB0326106826</t>
  </si>
  <si>
    <t>JB0326106827</t>
  </si>
  <si>
    <t>JB0326106873</t>
  </si>
  <si>
    <t>JB0326106870</t>
  </si>
  <si>
    <t>JB0326106871</t>
  </si>
  <si>
    <t>JB0326106880</t>
  </si>
  <si>
    <t>JB0326106909</t>
  </si>
  <si>
    <t>JB0326106910</t>
  </si>
  <si>
    <t>JB0326106931</t>
  </si>
  <si>
    <t>JB0326106986</t>
  </si>
  <si>
    <t>JB0326106987</t>
  </si>
  <si>
    <t>JB0326107005</t>
  </si>
  <si>
    <t>JB0326107006</t>
  </si>
  <si>
    <t>JB0326107033</t>
  </si>
  <si>
    <t>JB0326106804</t>
  </si>
  <si>
    <t>JB0326106810</t>
  </si>
  <si>
    <t>JB0326106828</t>
  </si>
  <si>
    <t>JB0326106837</t>
  </si>
  <si>
    <t>JB0326106842</t>
  </si>
  <si>
    <t>JB0326106838</t>
  </si>
  <si>
    <t>JB0326106888</t>
  </si>
  <si>
    <t>JB0326106889</t>
  </si>
  <si>
    <t>JB0326106891</t>
  </si>
  <si>
    <t>JB0326106908</t>
  </si>
  <si>
    <t>JB0326106930</t>
  </si>
  <si>
    <t>JB0326106949</t>
  </si>
  <si>
    <t>JB0326106950</t>
  </si>
  <si>
    <t>JB0326106951</t>
  </si>
  <si>
    <t>JB0326106970</t>
  </si>
  <si>
    <t>JB0326106971</t>
  </si>
  <si>
    <t>JB0326106988</t>
  </si>
  <si>
    <t>JB0326107007</t>
  </si>
  <si>
    <t>JB0326107022</t>
  </si>
  <si>
    <t>JB0326106805</t>
  </si>
  <si>
    <t>JB0326106815</t>
  </si>
  <si>
    <t>JB0326106862</t>
  </si>
  <si>
    <t>JB0326106863</t>
  </si>
  <si>
    <t>JB0326106864</t>
  </si>
  <si>
    <t>JB0326106872</t>
  </si>
  <si>
    <t>JB0326106923</t>
  </si>
  <si>
    <t>JB0326106954</t>
  </si>
  <si>
    <t>JB0326106952</t>
  </si>
  <si>
    <t>JB0326106973</t>
  </si>
  <si>
    <t>JB0326107009</t>
  </si>
  <si>
    <t>JB0326107010</t>
  </si>
  <si>
    <t>JB0326107034</t>
  </si>
  <si>
    <t>JB0326106834</t>
  </si>
  <si>
    <t>JB0326106839</t>
  </si>
  <si>
    <t>JB0326106890</t>
  </si>
  <si>
    <t>JB0326106911</t>
  </si>
  <si>
    <t>JB0326106925</t>
  </si>
  <si>
    <t>JB0326106947</t>
  </si>
  <si>
    <t>JB0326106948</t>
  </si>
  <si>
    <t>JB0326106972</t>
  </si>
  <si>
    <t>JB0326107023</t>
  </si>
  <si>
    <t>JB0326106851</t>
  </si>
  <si>
    <t>JB0326106852</t>
  </si>
  <si>
    <t>JB0326106879</t>
  </si>
  <si>
    <t>JB0326106906</t>
  </si>
  <si>
    <t>JB0326106907</t>
  </si>
  <si>
    <t>JB0326106922</t>
  </si>
  <si>
    <t>JB0326106968</t>
  </si>
  <si>
    <t>JB0326106969</t>
  </si>
  <si>
    <t>JB0326107030</t>
  </si>
  <si>
    <t>JB0326106786</t>
  </si>
  <si>
    <t>JB0326106821</t>
  </si>
  <si>
    <t>JB0326106825</t>
  </si>
  <si>
    <t>JB0326106853</t>
  </si>
  <si>
    <t>JB0326106854</t>
  </si>
  <si>
    <t>JB0326106927</t>
  </si>
  <si>
    <t>JB0326106926</t>
  </si>
  <si>
    <t>JB0326106963</t>
  </si>
  <si>
    <t>JB0326106964</t>
  </si>
  <si>
    <t>JB0326106944</t>
  </si>
  <si>
    <t>JB0326106991</t>
  </si>
  <si>
    <t>JB0326107025</t>
  </si>
  <si>
    <t>จ่าย 700</t>
  </si>
  <si>
    <t>จ่ายเกิน 70</t>
  </si>
  <si>
    <t>จ่ายเกิน 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</si>
</sst>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87" formatCode="[$-1010000]d/m/yy;@"/>
    <numFmt numFmtId="188" formatCode="_-* #,##0.0_-;\-* #,##0.0_-;_-* &quot;-&quot;??_-;_-@_-"/>
    <numFmt numFmtId="189" formatCode="_-* #,##0_-;\-* #,##0_-;_-* &quot;-&quot;??_-;_-@_-"/>
    <numFmt numFmtId="190" formatCode="[$-101041E]d\ mmm\ yy;@"/>
  </numFmts>
  <fonts count="9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  <charset val="222"/>
    </font>
    <font>
      <b/>
      <sz val="14"/>
      <name val="Angsana New"/>
      <family val="1"/>
    </font>
    <font>
      <b/>
      <sz val="14"/>
      <color indexed="8"/>
      <name val="Angsana New"/>
      <family val="1"/>
    </font>
    <font>
      <b/>
      <sz val="14"/>
      <color rgb="FF0000FF"/>
      <name val="Angsana New"/>
      <family val="1"/>
    </font>
    <font>
      <b/>
      <sz val="14"/>
      <color rgb="FFFF0000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16"/>
      <color rgb="FF7030A0"/>
      <name val="Angsana New"/>
      <family val="1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8"/>
      <color indexed="8"/>
      <name val="Angsana New"/>
      <family val="1"/>
    </font>
    <font>
      <sz val="11"/>
      <color theme="1"/>
      <name val="Angsana New"/>
      <family val="1"/>
    </font>
    <font>
      <b/>
      <sz val="16"/>
      <color indexed="8"/>
      <name val="Angsana New"/>
      <family val="1"/>
    </font>
    <font>
      <sz val="9"/>
      <color rgb="FFC00000"/>
      <name val="Angsana New"/>
      <family val="1"/>
    </font>
    <font>
      <sz val="9"/>
      <color rgb="FF0000FF"/>
      <name val="Angsana New"/>
      <family val="1"/>
    </font>
    <font>
      <b/>
      <sz val="9"/>
      <color indexed="8"/>
      <name val="Angsana New"/>
      <family val="1"/>
    </font>
    <font>
      <sz val="9"/>
      <color indexed="8"/>
      <name val="Angsana New"/>
      <family val="1"/>
    </font>
    <font>
      <sz val="12"/>
      <color rgb="FFFF0000"/>
      <name val="Angsana New"/>
      <family val="1"/>
    </font>
    <font>
      <sz val="9"/>
      <color theme="1"/>
      <name val="Angsana New"/>
      <family val="1"/>
    </font>
    <font>
      <b/>
      <sz val="12"/>
      <color rgb="FFFF0000"/>
      <name val="Angsana New"/>
      <family val="1"/>
    </font>
    <font>
      <b/>
      <sz val="12"/>
      <color rgb="FFC00000"/>
      <name val="Angsana New"/>
      <family val="1"/>
    </font>
    <font>
      <sz val="14"/>
      <name val="Angsana New"/>
      <family val="1"/>
    </font>
    <font>
      <sz val="14"/>
      <color rgb="FFFF0000"/>
      <name val="Angsana New"/>
      <family val="1"/>
    </font>
    <font>
      <b/>
      <u/>
      <sz val="14"/>
      <color rgb="FFFF0000"/>
      <name val="Angsana New"/>
      <family val="1"/>
    </font>
    <font>
      <b/>
      <sz val="16"/>
      <color rgb="FF0000FF"/>
      <name val="Angsana New"/>
      <family val="1"/>
    </font>
    <font>
      <b/>
      <sz val="16"/>
      <color rgb="FF009900"/>
      <name val="Angsana New"/>
      <family val="1"/>
    </font>
    <font>
      <b/>
      <u val="double"/>
      <sz val="16"/>
      <color rgb="FFFF0000"/>
      <name val="Angsana New"/>
      <family val="1"/>
    </font>
    <font>
      <b/>
      <sz val="15"/>
      <color rgb="FF009900"/>
      <name val="Angsana New"/>
      <family val="1"/>
    </font>
    <font>
      <b/>
      <sz val="15"/>
      <color theme="2" tint="-0.749992370372631"/>
      <name val="Angsana New"/>
      <family val="1"/>
    </font>
    <font>
      <b/>
      <u/>
      <sz val="15"/>
      <color theme="2" tint="-0.749992370372631"/>
      <name val="Angsana New"/>
      <family val="1"/>
    </font>
    <font>
      <b/>
      <sz val="15"/>
      <color rgb="FFFF6600"/>
      <name val="Angsana New"/>
      <family val="1"/>
    </font>
    <font>
      <b/>
      <u/>
      <sz val="15"/>
      <color rgb="FFFF6600"/>
      <name val="Angsana New"/>
      <family val="1"/>
    </font>
    <font>
      <b/>
      <sz val="15"/>
      <color rgb="FFCC00FF"/>
      <name val="Angsana New"/>
      <family val="1"/>
    </font>
    <font>
      <b/>
      <u/>
      <sz val="15"/>
      <color rgb="FFCC00FF"/>
      <name val="Angsana New"/>
      <family val="1"/>
    </font>
    <font>
      <b/>
      <sz val="15"/>
      <color rgb="FF3399FF"/>
      <name val="Angsana New"/>
      <family val="1"/>
    </font>
    <font>
      <b/>
      <u/>
      <sz val="15"/>
      <color rgb="FF3399FF"/>
      <name val="Angsana New"/>
      <family val="1"/>
    </font>
    <font>
      <b/>
      <sz val="13"/>
      <color rgb="FF3399FF"/>
      <name val="Angsana New"/>
      <family val="1"/>
    </font>
    <font>
      <b/>
      <sz val="12"/>
      <color rgb="FF009900"/>
      <name val="Angsana New"/>
      <family val="1"/>
    </font>
    <font>
      <b/>
      <sz val="12"/>
      <color rgb="FFFF6600"/>
      <name val="Angsana New"/>
      <family val="1"/>
    </font>
    <font>
      <b/>
      <sz val="13"/>
      <color theme="7" tint="-0.249977111117893"/>
      <name val="Angsana New"/>
      <family val="1"/>
    </font>
    <font>
      <b/>
      <u/>
      <sz val="15"/>
      <color theme="7" tint="-0.249977111117893"/>
      <name val="Angsana New"/>
      <family val="1"/>
    </font>
    <font>
      <b/>
      <sz val="15"/>
      <color theme="7" tint="-0.249977111117893"/>
      <name val="Angsana New"/>
      <family val="1"/>
    </font>
    <font>
      <b/>
      <sz val="15"/>
      <color indexed="8"/>
      <name val="Angsana New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6"/>
      <color rgb="FFFF0000"/>
      <name val="AngsanaUPC"/>
      <family val="1"/>
    </font>
    <font>
      <sz val="14"/>
      <color indexed="12"/>
      <name val="Angsana New"/>
      <family val="1"/>
    </font>
    <font>
      <b/>
      <u val="singleAccounting"/>
      <sz val="14"/>
      <color indexed="12"/>
      <name val="Angsana New"/>
      <family val="1"/>
    </font>
    <font>
      <b/>
      <sz val="18"/>
      <color theme="2" tint="-0.89999084444715716"/>
      <name val="AngsanaUPC"/>
      <family val="1"/>
    </font>
    <font>
      <sz val="14"/>
      <color theme="1" tint="4.9989318521683403E-2"/>
      <name val="Angsana New"/>
      <family val="1"/>
    </font>
    <font>
      <sz val="12"/>
      <color theme="1" tint="4.9989318521683403E-2"/>
      <name val="Angsana New"/>
      <family val="1"/>
    </font>
    <font>
      <sz val="13"/>
      <color theme="1" tint="4.9989318521683403E-2"/>
      <name val="Angsana New"/>
      <family val="1"/>
    </font>
    <font>
      <sz val="9"/>
      <color theme="1" tint="4.9989318521683403E-2"/>
      <name val="Angsana New"/>
      <family val="1"/>
    </font>
    <font>
      <b/>
      <sz val="15"/>
      <color theme="8" tint="-0.499984740745262"/>
      <name val="Angsana New"/>
      <family val="1"/>
    </font>
    <font>
      <b/>
      <sz val="12"/>
      <color indexed="8"/>
      <name val="Angsana New"/>
      <family val="1"/>
    </font>
    <font>
      <sz val="11"/>
      <color rgb="FFFF0000"/>
      <name val="Tahoma"/>
      <family val="2"/>
      <charset val="222"/>
      <scheme val="minor"/>
    </font>
    <font>
      <sz val="16"/>
      <color rgb="FFFF0000"/>
      <name val="Angsana New"/>
      <family val="1"/>
    </font>
    <font>
      <sz val="18"/>
      <color theme="1"/>
      <name val="Angsana New"/>
      <family val="1"/>
    </font>
    <font>
      <sz val="11"/>
      <color theme="1"/>
      <name val="Tahoma"/>
      <family val="2"/>
    </font>
    <font>
      <b/>
      <sz val="12"/>
      <color rgb="FF3399FF"/>
      <name val="Angsana New"/>
      <family val="1"/>
    </font>
    <font>
      <sz val="8"/>
      <name val="Tahoma"/>
      <family val="2"/>
      <charset val="222"/>
      <scheme val="minor"/>
    </font>
    <font>
      <sz val="12"/>
      <name val="Angsana New"/>
      <family val="1"/>
    </font>
    <font>
      <sz val="13"/>
      <name val="Angsana New"/>
      <family val="1"/>
    </font>
    <font>
      <b/>
      <sz val="12"/>
      <name val="Angsana New"/>
      <family val="1"/>
    </font>
    <font>
      <sz val="12"/>
      <color theme="1"/>
      <name val="Angsana New"/>
      <family val="1"/>
    </font>
    <font>
      <sz val="13"/>
      <color theme="1"/>
      <name val="Angsana New"/>
      <family val="1"/>
    </font>
    <font>
      <b/>
      <sz val="12"/>
      <color theme="1"/>
      <name val="Angsana New"/>
      <family val="1"/>
    </font>
    <font>
      <b/>
      <sz val="18"/>
      <color theme="1"/>
      <name val="AngsanaUPC"/>
      <family val="1"/>
    </font>
    <font>
      <sz val="12"/>
      <color rgb="FF0000FF"/>
      <name val="Angsana New"/>
      <family val="1"/>
    </font>
    <font>
      <b/>
      <sz val="13"/>
      <name val="Angsana New"/>
      <family val="1"/>
    </font>
    <font>
      <b/>
      <sz val="13"/>
      <color rgb="FF0000FF"/>
      <name val="Angsana New"/>
      <family val="1"/>
    </font>
    <font>
      <sz val="13"/>
      <color rgb="FFC00000"/>
      <name val="Angsana New"/>
      <family val="1"/>
    </font>
    <font>
      <b/>
      <sz val="13"/>
      <color rgb="FF009900"/>
      <name val="Angsana New"/>
      <family val="1"/>
    </font>
    <font>
      <b/>
      <sz val="13"/>
      <color theme="8" tint="-0.499984740745262"/>
      <name val="Angsana New"/>
      <family val="1"/>
    </font>
    <font>
      <b/>
      <sz val="13"/>
      <color rgb="FFFF6600"/>
      <name val="Angsana New"/>
      <family val="1"/>
    </font>
    <font>
      <b/>
      <u/>
      <sz val="13"/>
      <color rgb="FFFF6600"/>
      <name val="Angsana New"/>
      <family val="1"/>
    </font>
    <font>
      <b/>
      <sz val="13"/>
      <color theme="2" tint="-0.749992370372631"/>
      <name val="Angsana New"/>
      <family val="1"/>
    </font>
    <font>
      <b/>
      <u/>
      <sz val="13"/>
      <color theme="2" tint="-0.749992370372631"/>
      <name val="Angsana New"/>
      <family val="1"/>
    </font>
    <font>
      <b/>
      <sz val="13"/>
      <color rgb="FFCC00FF"/>
      <name val="Angsana New"/>
      <family val="1"/>
    </font>
    <font>
      <b/>
      <u/>
      <sz val="13"/>
      <color rgb="FFCC00FF"/>
      <name val="Angsana New"/>
      <family val="1"/>
    </font>
    <font>
      <b/>
      <u/>
      <sz val="13"/>
      <color rgb="FF3399FF"/>
      <name val="Angsana New"/>
      <family val="1"/>
    </font>
    <font>
      <b/>
      <sz val="13"/>
      <color rgb="FF7030A0"/>
      <name val="Angsana New"/>
      <family val="1"/>
    </font>
    <font>
      <b/>
      <u/>
      <sz val="13"/>
      <color theme="7" tint="-0.249977111117893"/>
      <name val="Angsana New"/>
      <family val="1"/>
    </font>
    <font>
      <b/>
      <sz val="13"/>
      <color rgb="FFFF0000"/>
      <name val="Angsana New"/>
      <family val="1"/>
    </font>
    <font>
      <b/>
      <u val="double"/>
      <sz val="13"/>
      <color rgb="FFFF0000"/>
      <name val="Angsana New"/>
      <family val="1"/>
    </font>
    <font>
      <b/>
      <sz val="18"/>
      <name val="AngsanaUPC"/>
      <family val="1"/>
    </font>
    <font>
      <b/>
      <sz val="18"/>
      <color theme="0"/>
      <name val="AngsanaUPC"/>
      <family val="1"/>
    </font>
    <font>
      <b/>
      <sz val="12"/>
      <color theme="1" tint="4.9989318521683403E-2"/>
      <name val="Angsana New"/>
      <family val="1"/>
    </font>
    <font>
      <b/>
      <sz val="18"/>
      <color theme="1" tint="4.9989318521683403E-2"/>
      <name val="AngsanaUPC"/>
      <family val="1"/>
    </font>
    <font>
      <sz val="13"/>
      <color rgb="FFFF0000"/>
      <name val="Angsana New"/>
      <family val="1"/>
    </font>
    <font>
      <sz val="11"/>
      <name val="Angsana New"/>
      <family val="1"/>
    </font>
    <font>
      <b/>
      <sz val="12"/>
      <color rgb="FF0000FF"/>
      <name val="Angsana New"/>
      <family val="1"/>
    </font>
    <font>
      <sz val="14"/>
      <color rgb="FF002060"/>
      <name val="Angsana New"/>
      <family val="1"/>
    </font>
    <font>
      <sz val="11"/>
      <color rgb="FFFF0000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theme="9" tint="-0.499984740745262"/>
      </right>
      <top/>
      <bottom style="double">
        <color theme="9" tint="-0.499984740745262"/>
      </bottom>
      <diagonal/>
    </border>
    <border>
      <left style="double">
        <color theme="9" tint="-0.499984740745262"/>
      </left>
      <right style="double">
        <color theme="9" tint="-0.499984740745262"/>
      </right>
      <top/>
      <bottom style="double">
        <color theme="9" tint="-0.499984740745262"/>
      </bottom>
      <diagonal/>
    </border>
    <border>
      <left style="double">
        <color theme="9" tint="-0.499984740745262"/>
      </left>
      <right/>
      <top/>
      <bottom style="double">
        <color theme="9" tint="-0.499984740745262"/>
      </bottom>
      <diagonal/>
    </border>
    <border>
      <left/>
      <right style="double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double">
        <color theme="9" tint="-0.499984740745262"/>
      </left>
      <right/>
      <top style="double">
        <color theme="9" tint="-0.499984740745262"/>
      </top>
      <bottom style="double">
        <color theme="9" tint="-0.499984740745262"/>
      </bottom>
      <diagonal/>
    </border>
    <border>
      <left/>
      <right style="double">
        <color theme="9" tint="-0.499984740745262"/>
      </right>
      <top style="double">
        <color theme="9" tint="-0.499984740745262"/>
      </top>
      <bottom/>
      <diagonal/>
    </border>
    <border>
      <left style="double">
        <color theme="9" tint="-0.499984740745262"/>
      </left>
      <right/>
      <top style="double">
        <color theme="9" tint="-0.499984740745262"/>
      </top>
      <bottom/>
      <diagonal/>
    </border>
    <border>
      <left/>
      <right style="double">
        <color rgb="FFC00000"/>
      </right>
      <top/>
      <bottom style="double">
        <color rgb="FFC00000"/>
      </bottom>
      <diagonal/>
    </border>
    <border>
      <left style="double">
        <color rgb="FFC00000"/>
      </left>
      <right/>
      <top/>
      <bottom style="double">
        <color rgb="FFC00000"/>
      </bottom>
      <diagonal/>
    </border>
    <border>
      <left/>
      <right style="double">
        <color rgb="FFC00000"/>
      </right>
      <top style="double">
        <color rgb="FFC00000"/>
      </top>
      <bottom style="double">
        <color rgb="FFC00000"/>
      </bottom>
      <diagonal/>
    </border>
    <border>
      <left style="double">
        <color rgb="FFC00000"/>
      </left>
      <right/>
      <top style="double">
        <color rgb="FFC00000"/>
      </top>
      <bottom style="double">
        <color rgb="FFC00000"/>
      </bottom>
      <diagonal/>
    </border>
    <border>
      <left/>
      <right style="double">
        <color rgb="FFC00000"/>
      </right>
      <top style="double">
        <color rgb="FFC00000"/>
      </top>
      <bottom/>
      <diagonal/>
    </border>
    <border>
      <left style="double">
        <color rgb="FFC00000"/>
      </left>
      <right/>
      <top style="double">
        <color rgb="FFC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theme="9" tint="-0.499984740745262"/>
      </left>
      <right style="double">
        <color theme="9" tint="-0.499984740745262"/>
      </right>
      <top/>
      <bottom/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 style="double">
        <color theme="9" tint="-0.499984740745262"/>
      </bottom>
      <diagonal/>
    </border>
    <border>
      <left style="thick">
        <color theme="9" tint="-0.499984740745262"/>
      </left>
      <right style="thick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thick">
        <color theme="9" tint="-0.499984740745262"/>
      </left>
      <right style="thick">
        <color theme="9" tint="-0.499984740745262"/>
      </right>
      <top style="double">
        <color theme="9" tint="-0.499984740745262"/>
      </top>
      <bottom style="thick">
        <color theme="9" tint="-0.499984740745262"/>
      </bottom>
      <diagonal/>
    </border>
    <border>
      <left style="thick">
        <color theme="9" tint="-0.499984740745262"/>
      </left>
      <right style="double">
        <color theme="9" tint="-0.499984740745262"/>
      </right>
      <top style="thick">
        <color theme="9" tint="-0.499984740745262"/>
      </top>
      <bottom style="double">
        <color theme="9" tint="-0.499984740745262"/>
      </bottom>
      <diagonal/>
    </border>
    <border>
      <left style="double">
        <color theme="9" tint="-0.499984740745262"/>
      </left>
      <right style="thick">
        <color theme="9" tint="-0.499984740745262"/>
      </right>
      <top style="thick">
        <color theme="9" tint="-0.499984740745262"/>
      </top>
      <bottom style="double">
        <color theme="9" tint="-0.499984740745262"/>
      </bottom>
      <diagonal/>
    </border>
    <border>
      <left style="thick">
        <color theme="9" tint="-0.499984740745262"/>
      </left>
      <right style="double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double">
        <color theme="9" tint="-0.499984740745262"/>
      </left>
      <right style="thick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thick">
        <color theme="9" tint="-0.499984740745262"/>
      </left>
      <right style="double">
        <color theme="9" tint="-0.499984740745262"/>
      </right>
      <top style="double">
        <color theme="9" tint="-0.499984740745262"/>
      </top>
      <bottom style="thick">
        <color theme="9" tint="-0.499984740745262"/>
      </bottom>
      <diagonal/>
    </border>
    <border>
      <left style="double">
        <color theme="9" tint="-0.499984740745262"/>
      </left>
      <right style="thick">
        <color theme="9" tint="-0.499984740745262"/>
      </right>
      <top style="double">
        <color theme="9" tint="-0.499984740745262"/>
      </top>
      <bottom style="thick">
        <color theme="9" tint="-0.49998474074526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</cellStyleXfs>
  <cellXfs count="407">
    <xf numFmtId="0" fontId="0" fillId="0" borderId="0" xfId="0"/>
    <xf numFmtId="0" fontId="11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/>
    <xf numFmtId="188" fontId="12" fillId="3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89" fontId="12" fillId="3" borderId="1" xfId="1" applyNumberFormat="1" applyFont="1" applyFill="1" applyBorder="1" applyAlignment="1">
      <alignment horizontal="center"/>
    </xf>
    <xf numFmtId="4" fontId="8" fillId="0" borderId="0" xfId="4" applyNumberFormat="1" applyFont="1" applyAlignment="1" applyProtection="1">
      <alignment horizontal="center" vertical="center"/>
      <protection locked="0"/>
    </xf>
    <xf numFmtId="0" fontId="8" fillId="0" borderId="0" xfId="4" applyFont="1" applyAlignment="1" applyProtection="1">
      <alignment horizontal="center" vertical="center"/>
      <protection locked="0"/>
    </xf>
    <xf numFmtId="0" fontId="3" fillId="0" borderId="0" xfId="4" applyFont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/>
      <protection locked="0"/>
    </xf>
    <xf numFmtId="49" fontId="19" fillId="0" borderId="0" xfId="2" applyNumberFormat="1" applyFont="1" applyAlignment="1" applyProtection="1">
      <alignment horizontal="center" vertical="center"/>
      <protection locked="0"/>
    </xf>
    <xf numFmtId="4" fontId="18" fillId="0" borderId="0" xfId="2" applyNumberFormat="1" applyFont="1" applyAlignment="1" applyProtection="1">
      <alignment horizontal="center" vertical="center"/>
      <protection locked="0"/>
    </xf>
    <xf numFmtId="0" fontId="20" fillId="0" borderId="0" xfId="2" applyFont="1" applyAlignment="1" applyProtection="1">
      <alignment horizontal="center" vertical="center"/>
      <protection locked="0"/>
    </xf>
    <xf numFmtId="49" fontId="4" fillId="0" borderId="0" xfId="2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 wrapText="1"/>
      <protection locked="0"/>
    </xf>
    <xf numFmtId="4" fontId="21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" fontId="15" fillId="0" borderId="0" xfId="2" applyNumberFormat="1" applyFont="1" applyAlignment="1" applyProtection="1">
      <alignment vertical="center"/>
      <protection locked="0"/>
    </xf>
    <xf numFmtId="187" fontId="11" fillId="0" borderId="0" xfId="0" applyNumberFormat="1" applyFont="1" applyAlignment="1" applyProtection="1">
      <alignment horizontal="center" vertical="center"/>
      <protection locked="0"/>
    </xf>
    <xf numFmtId="0" fontId="24" fillId="0" borderId="0" xfId="4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3" fontId="4" fillId="0" borderId="0" xfId="2" applyNumberFormat="1" applyFont="1" applyAlignment="1" applyProtection="1">
      <alignment horizontal="center" vertical="center"/>
      <protection locked="0"/>
    </xf>
    <xf numFmtId="0" fontId="26" fillId="0" borderId="0" xfId="4" applyFont="1" applyAlignment="1" applyProtection="1">
      <alignment horizontal="center" vertical="center"/>
      <protection locked="0"/>
    </xf>
    <xf numFmtId="0" fontId="27" fillId="0" borderId="0" xfId="4" applyFont="1" applyAlignment="1" applyProtection="1">
      <alignment horizontal="center" vertical="center"/>
      <protection locked="0"/>
    </xf>
    <xf numFmtId="0" fontId="28" fillId="0" borderId="0" xfId="4" applyFont="1" applyAlignment="1" applyProtection="1">
      <alignment horizontal="center" vertical="center"/>
      <protection locked="0"/>
    </xf>
    <xf numFmtId="0" fontId="10" fillId="0" borderId="0" xfId="4" applyFont="1" applyAlignment="1" applyProtection="1">
      <alignment horizontal="center" vertical="center"/>
      <protection locked="0"/>
    </xf>
    <xf numFmtId="0" fontId="9" fillId="0" borderId="0" xfId="4" applyFont="1" applyAlignment="1" applyProtection="1">
      <alignment horizontal="center" vertical="center"/>
      <protection locked="0"/>
    </xf>
    <xf numFmtId="0" fontId="27" fillId="0" borderId="0" xfId="4" applyFont="1" applyAlignment="1" applyProtection="1">
      <alignment horizontal="center"/>
      <protection locked="0"/>
    </xf>
    <xf numFmtId="0" fontId="9" fillId="0" borderId="0" xfId="4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4" fontId="45" fillId="0" borderId="0" xfId="2" applyNumberFormat="1" applyFont="1" applyAlignment="1" applyProtection="1">
      <alignment vertical="center"/>
      <protection locked="0"/>
    </xf>
    <xf numFmtId="0" fontId="47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" fillId="0" borderId="0" xfId="4" applyFont="1" applyAlignment="1" applyProtection="1">
      <alignment vertical="center"/>
      <protection locked="0"/>
    </xf>
    <xf numFmtId="0" fontId="24" fillId="0" borderId="0" xfId="4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6" fillId="0" borderId="0" xfId="2" applyFont="1" applyAlignment="1" applyProtection="1">
      <alignment vertical="center"/>
      <protection locked="0"/>
    </xf>
    <xf numFmtId="49" fontId="19" fillId="0" borderId="0" xfId="2" applyNumberFormat="1" applyFont="1" applyAlignment="1" applyProtection="1">
      <alignment vertical="center"/>
      <protection locked="0"/>
    </xf>
    <xf numFmtId="4" fontId="18" fillId="0" borderId="0" xfId="2" applyNumberFormat="1" applyFont="1" applyAlignment="1" applyProtection="1">
      <alignment vertical="center"/>
      <protection locked="0"/>
    </xf>
    <xf numFmtId="4" fontId="17" fillId="0" borderId="0" xfId="2" applyNumberFormat="1" applyFont="1" applyAlignment="1" applyProtection="1">
      <alignment vertical="center"/>
      <protection locked="0"/>
    </xf>
    <xf numFmtId="0" fontId="20" fillId="0" borderId="0" xfId="2" applyFont="1" applyAlignment="1" applyProtection="1">
      <alignment vertical="center"/>
      <protection locked="0"/>
    </xf>
    <xf numFmtId="0" fontId="8" fillId="0" borderId="0" xfId="4" applyFont="1" applyAlignment="1" applyProtection="1">
      <alignment vertical="center"/>
      <protection locked="0"/>
    </xf>
    <xf numFmtId="4" fontId="21" fillId="0" borderId="0" xfId="0" applyNumberFormat="1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4" fontId="17" fillId="0" borderId="0" xfId="0" applyNumberFormat="1" applyFont="1" applyAlignment="1" applyProtection="1">
      <alignment vertical="center"/>
      <protection locked="0"/>
    </xf>
    <xf numFmtId="0" fontId="27" fillId="0" borderId="0" xfId="4" applyFont="1" applyAlignment="1" applyProtection="1">
      <alignment vertical="center"/>
      <protection locked="0"/>
    </xf>
    <xf numFmtId="0" fontId="28" fillId="0" borderId="0" xfId="4" applyFont="1" applyAlignment="1" applyProtection="1">
      <alignment vertical="center"/>
      <protection locked="0"/>
    </xf>
    <xf numFmtId="0" fontId="10" fillId="0" borderId="0" xfId="4" applyFont="1" applyAlignment="1" applyProtection="1">
      <alignment vertical="center"/>
      <protection locked="0"/>
    </xf>
    <xf numFmtId="0" fontId="9" fillId="0" borderId="0" xfId="4" applyFont="1" applyAlignment="1" applyProtection="1">
      <alignment vertical="center"/>
      <protection locked="0"/>
    </xf>
    <xf numFmtId="4" fontId="15" fillId="0" borderId="0" xfId="2" applyNumberFormat="1" applyFont="1" applyAlignment="1" applyProtection="1">
      <alignment horizontal="center" vertical="center"/>
      <protection locked="0"/>
    </xf>
    <xf numFmtId="4" fontId="17" fillId="0" borderId="0" xfId="2" applyNumberFormat="1" applyFont="1" applyAlignment="1" applyProtection="1">
      <alignment horizontal="center" vertical="center"/>
      <protection locked="0"/>
    </xf>
    <xf numFmtId="1" fontId="4" fillId="0" borderId="0" xfId="2" applyNumberFormat="1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49" fontId="8" fillId="0" borderId="0" xfId="4" applyNumberFormat="1" applyFont="1" applyAlignment="1" applyProtection="1">
      <alignment horizontal="center" vertical="center"/>
      <protection locked="0"/>
    </xf>
    <xf numFmtId="4" fontId="17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4" fontId="45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5" fillId="0" borderId="0" xfId="2" applyFont="1" applyAlignment="1" applyProtection="1">
      <alignment vertical="center"/>
      <protection locked="0"/>
    </xf>
    <xf numFmtId="0" fontId="46" fillId="0" borderId="8" xfId="0" applyFont="1" applyBorder="1" applyAlignment="1">
      <alignment vertical="center"/>
    </xf>
    <xf numFmtId="43" fontId="49" fillId="0" borderId="7" xfId="3" applyFont="1" applyBorder="1" applyAlignment="1" applyProtection="1">
      <alignment vertical="center" shrinkToFit="1"/>
      <protection locked="0"/>
    </xf>
    <xf numFmtId="43" fontId="50" fillId="0" borderId="7" xfId="3" applyFont="1" applyBorder="1" applyAlignment="1" applyProtection="1">
      <alignment vertical="center"/>
      <protection locked="0"/>
    </xf>
    <xf numFmtId="0" fontId="47" fillId="0" borderId="1" xfId="0" applyFont="1" applyBorder="1" applyAlignment="1">
      <alignment horizontal="center" vertical="center"/>
    </xf>
    <xf numFmtId="0" fontId="15" fillId="0" borderId="0" xfId="2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4" fontId="15" fillId="0" borderId="0" xfId="2" applyNumberFormat="1" applyFont="1" applyAlignment="1" applyProtection="1">
      <alignment horizontal="left" vertical="center"/>
      <protection locked="0"/>
    </xf>
    <xf numFmtId="0" fontId="46" fillId="0" borderId="5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4" fontId="46" fillId="0" borderId="1" xfId="0" applyNumberFormat="1" applyFont="1" applyBorder="1" applyAlignment="1">
      <alignment horizontal="center" vertical="center"/>
    </xf>
    <xf numFmtId="4" fontId="13" fillId="0" borderId="0" xfId="2" applyNumberFormat="1" applyFont="1" applyAlignment="1" applyProtection="1">
      <alignment horizontal="center" vertical="center"/>
      <protection locked="0"/>
    </xf>
    <xf numFmtId="0" fontId="51" fillId="0" borderId="10" xfId="5" applyFont="1" applyBorder="1" applyAlignment="1">
      <alignment horizontal="center" vertical="center"/>
    </xf>
    <xf numFmtId="0" fontId="51" fillId="0" borderId="5" xfId="2" applyFont="1" applyBorder="1" applyAlignment="1">
      <alignment horizontal="center" vertical="center"/>
    </xf>
    <xf numFmtId="0" fontId="51" fillId="0" borderId="6" xfId="2" applyFont="1" applyBorder="1" applyAlignment="1">
      <alignment horizontal="center" vertical="center"/>
    </xf>
    <xf numFmtId="0" fontId="51" fillId="0" borderId="4" xfId="5" applyFont="1" applyBorder="1" applyAlignment="1">
      <alignment horizontal="center"/>
    </xf>
    <xf numFmtId="190" fontId="51" fillId="0" borderId="1" xfId="2" applyNumberFormat="1" applyFont="1" applyBorder="1" applyAlignment="1">
      <alignment horizontal="center"/>
    </xf>
    <xf numFmtId="49" fontId="51" fillId="0" borderId="1" xfId="2" applyNumberFormat="1" applyFont="1" applyBorder="1" applyAlignment="1">
      <alignment horizontal="center"/>
    </xf>
    <xf numFmtId="43" fontId="51" fillId="0" borderId="9" xfId="1" applyFont="1" applyFill="1" applyBorder="1" applyAlignment="1">
      <alignment horizontal="center"/>
    </xf>
    <xf numFmtId="0" fontId="51" fillId="0" borderId="11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43" fontId="51" fillId="0" borderId="3" xfId="0" applyNumberFormat="1" applyFont="1" applyBorder="1" applyAlignment="1">
      <alignment horizontal="center"/>
    </xf>
    <xf numFmtId="4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87" fontId="4" fillId="0" borderId="25" xfId="2" applyNumberFormat="1" applyFont="1" applyBorder="1" applyAlignment="1" applyProtection="1">
      <alignment horizontal="center" vertical="center"/>
      <protection locked="0"/>
    </xf>
    <xf numFmtId="0" fontId="12" fillId="4" borderId="26" xfId="2" applyFont="1" applyFill="1" applyBorder="1" applyAlignment="1" applyProtection="1">
      <alignment horizontal="center" vertical="center"/>
      <protection locked="0"/>
    </xf>
    <xf numFmtId="49" fontId="4" fillId="0" borderId="27" xfId="2" applyNumberFormat="1" applyFont="1" applyBorder="1" applyAlignment="1" applyProtection="1">
      <alignment horizontal="center" vertical="center"/>
      <protection locked="0"/>
    </xf>
    <xf numFmtId="4" fontId="12" fillId="4" borderId="26" xfId="2" applyNumberFormat="1" applyFont="1" applyFill="1" applyBorder="1" applyAlignment="1" applyProtection="1">
      <alignment horizontal="center" vertical="center" shrinkToFit="1"/>
      <protection locked="0"/>
    </xf>
    <xf numFmtId="4" fontId="12" fillId="4" borderId="26" xfId="2" applyNumberFormat="1" applyFont="1" applyFill="1" applyBorder="1" applyAlignment="1" applyProtection="1">
      <alignment horizontal="center" vertical="center"/>
      <protection locked="0"/>
    </xf>
    <xf numFmtId="4" fontId="12" fillId="4" borderId="10" xfId="2" applyNumberFormat="1" applyFont="1" applyFill="1" applyBorder="1" applyAlignment="1" applyProtection="1">
      <alignment horizontal="center" vertical="center"/>
      <protection locked="0"/>
    </xf>
    <xf numFmtId="0" fontId="23" fillId="0" borderId="5" xfId="2" applyFont="1" applyBorder="1" applyAlignment="1" applyProtection="1">
      <alignment horizontal="center" vertical="center"/>
      <protection locked="0"/>
    </xf>
    <xf numFmtId="4" fontId="5" fillId="0" borderId="5" xfId="2" applyNumberFormat="1" applyFont="1" applyBorder="1" applyAlignment="1" applyProtection="1">
      <alignment horizontal="center" vertical="center" shrinkToFit="1"/>
      <protection locked="0"/>
    </xf>
    <xf numFmtId="4" fontId="5" fillId="0" borderId="26" xfId="2" applyNumberFormat="1" applyFont="1" applyBorder="1" applyAlignment="1" applyProtection="1">
      <alignment horizontal="center" vertical="center"/>
      <protection locked="0"/>
    </xf>
    <xf numFmtId="0" fontId="22" fillId="0" borderId="8" xfId="2" applyFont="1" applyBorder="1" applyAlignment="1" applyProtection="1">
      <alignment horizontal="center" vertical="center"/>
      <protection locked="0"/>
    </xf>
    <xf numFmtId="187" fontId="52" fillId="0" borderId="4" xfId="0" applyNumberFormat="1" applyFont="1" applyBorder="1" applyAlignment="1" applyProtection="1">
      <alignment horizontal="center" vertical="center"/>
      <protection locked="0"/>
    </xf>
    <xf numFmtId="49" fontId="54" fillId="0" borderId="1" xfId="0" applyNumberFormat="1" applyFont="1" applyBorder="1" applyAlignment="1" applyProtection="1">
      <alignment horizontal="center" vertical="center"/>
      <protection locked="0"/>
    </xf>
    <xf numFmtId="4" fontId="54" fillId="0" borderId="1" xfId="0" applyNumberFormat="1" applyFont="1" applyBorder="1" applyAlignment="1" applyProtection="1">
      <alignment horizontal="center" vertical="center" shrinkToFit="1"/>
      <protection locked="0"/>
    </xf>
    <xf numFmtId="4" fontId="54" fillId="0" borderId="1" xfId="0" applyNumberFormat="1" applyFont="1" applyBorder="1" applyAlignment="1" applyProtection="1">
      <alignment horizontal="center" vertical="center"/>
      <protection locked="0"/>
    </xf>
    <xf numFmtId="187" fontId="52" fillId="0" borderId="11" xfId="0" applyNumberFormat="1" applyFont="1" applyBorder="1" applyAlignment="1" applyProtection="1">
      <alignment horizontal="center" vertical="center"/>
      <protection locked="0"/>
    </xf>
    <xf numFmtId="4" fontId="54" fillId="0" borderId="2" xfId="0" applyNumberFormat="1" applyFont="1" applyBorder="1" applyAlignment="1" applyProtection="1">
      <alignment horizontal="center" vertical="center" shrinkToFit="1"/>
      <protection locked="0"/>
    </xf>
    <xf numFmtId="4" fontId="54" fillId="0" borderId="2" xfId="0" applyNumberFormat="1" applyFont="1" applyBorder="1" applyAlignment="1" applyProtection="1">
      <alignment horizontal="center" vertical="center"/>
      <protection locked="0"/>
    </xf>
    <xf numFmtId="0" fontId="54" fillId="0" borderId="1" xfId="0" applyFont="1" applyBorder="1" applyAlignment="1" applyProtection="1">
      <alignment horizontal="center" vertical="center" shrinkToFit="1"/>
      <protection locked="0"/>
    </xf>
    <xf numFmtId="0" fontId="54" fillId="0" borderId="2" xfId="0" applyFont="1" applyBorder="1" applyAlignment="1" applyProtection="1">
      <alignment horizontal="center" vertical="center" shrinkToFit="1"/>
      <protection locked="0"/>
    </xf>
    <xf numFmtId="4" fontId="4" fillId="0" borderId="26" xfId="2" applyNumberFormat="1" applyFont="1" applyBorder="1" applyAlignment="1" applyProtection="1">
      <alignment horizontal="center" vertical="center" shrinkToFit="1"/>
      <protection locked="0"/>
    </xf>
    <xf numFmtId="0" fontId="15" fillId="0" borderId="0" xfId="2" applyFont="1" applyAlignment="1" applyProtection="1">
      <alignment horizontal="center"/>
      <protection locked="0"/>
    </xf>
    <xf numFmtId="4" fontId="45" fillId="0" borderId="0" xfId="2" applyNumberFormat="1" applyFont="1" applyAlignment="1" applyProtection="1">
      <alignment horizontal="center"/>
      <protection locked="0"/>
    </xf>
    <xf numFmtId="4" fontId="15" fillId="0" borderId="0" xfId="2" applyNumberFormat="1" applyFont="1" applyAlignment="1" applyProtection="1">
      <alignment horizontal="center"/>
      <protection locked="0"/>
    </xf>
    <xf numFmtId="0" fontId="16" fillId="0" borderId="0" xfId="2" applyFont="1" applyAlignment="1" applyProtection="1">
      <alignment horizontal="center"/>
      <protection locked="0"/>
    </xf>
    <xf numFmtId="49" fontId="19" fillId="0" borderId="0" xfId="2" applyNumberFormat="1" applyFont="1" applyAlignment="1" applyProtection="1">
      <alignment horizontal="center"/>
      <protection locked="0"/>
    </xf>
    <xf numFmtId="4" fontId="18" fillId="0" borderId="0" xfId="2" applyNumberFormat="1" applyFont="1" applyAlignment="1" applyProtection="1">
      <alignment horizontal="center"/>
      <protection locked="0"/>
    </xf>
    <xf numFmtId="4" fontId="17" fillId="0" borderId="0" xfId="2" applyNumberFormat="1" applyFont="1" applyAlignment="1" applyProtection="1">
      <alignment horizontal="center"/>
      <protection locked="0"/>
    </xf>
    <xf numFmtId="0" fontId="20" fillId="0" borderId="0" xfId="2" applyFont="1" applyAlignment="1" applyProtection="1">
      <alignment horizontal="center"/>
      <protection locked="0"/>
    </xf>
    <xf numFmtId="187" fontId="11" fillId="0" borderId="0" xfId="0" applyNumberFormat="1" applyFont="1" applyAlignment="1" applyProtection="1">
      <alignment horizontal="center"/>
      <protection locked="0"/>
    </xf>
    <xf numFmtId="0" fontId="4" fillId="0" borderId="0" xfId="2" applyFont="1" applyAlignment="1" applyProtection="1">
      <alignment horizontal="center"/>
      <protection locked="0"/>
    </xf>
    <xf numFmtId="49" fontId="4" fillId="0" borderId="0" xfId="2" applyNumberFormat="1" applyFont="1" applyAlignment="1" applyProtection="1">
      <alignment horizontal="center"/>
      <protection locked="0"/>
    </xf>
    <xf numFmtId="3" fontId="4" fillId="0" borderId="0" xfId="2" applyNumberFormat="1" applyFont="1" applyAlignment="1" applyProtection="1">
      <alignment horizontal="center"/>
      <protection locked="0"/>
    </xf>
    <xf numFmtId="1" fontId="4" fillId="0" borderId="0" xfId="2" applyNumberFormat="1" applyFont="1" applyAlignment="1" applyProtection="1">
      <alignment horizontal="center"/>
      <protection locked="0"/>
    </xf>
    <xf numFmtId="43" fontId="49" fillId="0" borderId="7" xfId="3" applyFont="1" applyBorder="1" applyAlignment="1" applyProtection="1">
      <alignment shrinkToFit="1"/>
      <protection locked="0"/>
    </xf>
    <xf numFmtId="43" fontId="50" fillId="0" borderId="7" xfId="3" applyFont="1" applyBorder="1" applyAlignment="1" applyProtection="1">
      <protection locked="0"/>
    </xf>
    <xf numFmtId="0" fontId="25" fillId="0" borderId="0" xfId="0" applyFont="1" applyAlignment="1" applyProtection="1">
      <alignment horizontal="center" wrapText="1"/>
      <protection locked="0"/>
    </xf>
    <xf numFmtId="0" fontId="26" fillId="0" borderId="0" xfId="4" applyFont="1" applyAlignment="1" applyProtection="1">
      <alignment horizontal="center"/>
      <protection locked="0"/>
    </xf>
    <xf numFmtId="0" fontId="8" fillId="0" borderId="0" xfId="4" applyFont="1" applyAlignment="1" applyProtection="1">
      <alignment horizontal="center"/>
      <protection locked="0"/>
    </xf>
    <xf numFmtId="49" fontId="8" fillId="0" borderId="0" xfId="4" applyNumberFormat="1" applyFont="1" applyAlignment="1" applyProtection="1">
      <alignment horizontal="center"/>
      <protection locked="0"/>
    </xf>
    <xf numFmtId="4" fontId="8" fillId="0" borderId="0" xfId="4" applyNumberFormat="1" applyFont="1" applyAlignment="1" applyProtection="1">
      <alignment horizontal="center"/>
      <protection locked="0"/>
    </xf>
    <xf numFmtId="4" fontId="21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4" fontId="17" fillId="0" borderId="0" xfId="0" applyNumberFormat="1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wrapText="1"/>
      <protection locked="0"/>
    </xf>
    <xf numFmtId="0" fontId="3" fillId="0" borderId="0" xfId="4" applyFont="1" applyAlignment="1" applyProtection="1">
      <alignment horizontal="center"/>
      <protection locked="0"/>
    </xf>
    <xf numFmtId="0" fontId="28" fillId="0" borderId="0" xfId="4" applyFont="1" applyAlignment="1" applyProtection="1">
      <alignment horizontal="center"/>
      <protection locked="0"/>
    </xf>
    <xf numFmtId="0" fontId="10" fillId="0" borderId="0" xfId="4" applyFont="1" applyAlignment="1" applyProtection="1">
      <alignment horizontal="center"/>
      <protection locked="0"/>
    </xf>
    <xf numFmtId="0" fontId="24" fillId="0" borderId="0" xfId="4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53" fillId="0" borderId="1" xfId="0" applyFont="1" applyBorder="1" applyAlignment="1" applyProtection="1">
      <alignment horizontal="center" vertical="center" wrapText="1"/>
      <protection locked="0"/>
    </xf>
    <xf numFmtId="0" fontId="54" fillId="0" borderId="1" xfId="0" applyFont="1" applyBorder="1" applyAlignment="1" applyProtection="1">
      <alignment horizontal="center" vertical="center"/>
      <protection locked="0"/>
    </xf>
    <xf numFmtId="4" fontId="54" fillId="0" borderId="1" xfId="0" applyNumberFormat="1" applyFont="1" applyBorder="1" applyAlignment="1">
      <alignment horizontal="center" vertical="center" shrinkToFit="1"/>
    </xf>
    <xf numFmtId="0" fontId="54" fillId="0" borderId="9" xfId="0" applyFont="1" applyBorder="1" applyAlignment="1" applyProtection="1">
      <alignment horizontal="center" vertical="center" wrapText="1"/>
      <protection locked="0"/>
    </xf>
    <xf numFmtId="49" fontId="55" fillId="0" borderId="2" xfId="0" applyNumberFormat="1" applyFont="1" applyBorder="1" applyAlignment="1" applyProtection="1">
      <alignment horizontal="center" vertical="center"/>
      <protection locked="0"/>
    </xf>
    <xf numFmtId="0" fontId="52" fillId="0" borderId="2" xfId="0" applyFont="1" applyBorder="1" applyAlignment="1" applyProtection="1">
      <alignment horizontal="center" vertical="center"/>
      <protection locked="0"/>
    </xf>
    <xf numFmtId="4" fontId="54" fillId="0" borderId="2" xfId="0" applyNumberFormat="1" applyFont="1" applyBorder="1" applyAlignment="1">
      <alignment horizontal="center" vertical="center" shrinkToFit="1"/>
    </xf>
    <xf numFmtId="0" fontId="54" fillId="0" borderId="3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43" fontId="49" fillId="0" borderId="7" xfId="3" applyFont="1" applyBorder="1" applyAlignment="1" applyProtection="1">
      <alignment horizontal="center" vertical="center" shrinkToFit="1"/>
      <protection locked="0"/>
    </xf>
    <xf numFmtId="43" fontId="50" fillId="0" borderId="7" xfId="3" applyFont="1" applyBorder="1" applyAlignment="1" applyProtection="1">
      <alignment horizontal="center" vertical="center"/>
      <protection locked="0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" fontId="54" fillId="0" borderId="3" xfId="0" applyNumberFormat="1" applyFont="1" applyBorder="1" applyAlignment="1" applyProtection="1">
      <alignment horizontal="center" vertical="center" wrapText="1"/>
      <protection locked="0"/>
    </xf>
    <xf numFmtId="1" fontId="32" fillId="0" borderId="0" xfId="4" applyNumberFormat="1" applyFont="1" applyAlignment="1" applyProtection="1">
      <alignment horizontal="left" vertical="center"/>
      <protection locked="0"/>
    </xf>
    <xf numFmtId="1" fontId="36" fillId="0" borderId="0" xfId="4" applyNumberFormat="1" applyFont="1" applyAlignment="1" applyProtection="1">
      <alignment horizontal="left" vertical="center"/>
      <protection locked="0"/>
    </xf>
    <xf numFmtId="1" fontId="38" fillId="0" borderId="0" xfId="4" applyNumberFormat="1" applyFont="1" applyAlignment="1" applyProtection="1">
      <alignment horizontal="left" vertical="center"/>
      <protection locked="0"/>
    </xf>
    <xf numFmtId="1" fontId="43" fillId="0" borderId="0" xfId="4" applyNumberFormat="1" applyFont="1" applyAlignment="1" applyProtection="1">
      <alignment horizontal="left" vertical="center"/>
      <protection locked="0"/>
    </xf>
    <xf numFmtId="1" fontId="32" fillId="0" borderId="0" xfId="4" applyNumberFormat="1" applyFont="1" applyAlignment="1" applyProtection="1">
      <alignment horizontal="left"/>
      <protection locked="0"/>
    </xf>
    <xf numFmtId="1" fontId="36" fillId="0" borderId="0" xfId="4" applyNumberFormat="1" applyFont="1" applyAlignment="1" applyProtection="1">
      <alignment horizontal="left"/>
      <protection locked="0"/>
    </xf>
    <xf numFmtId="1" fontId="38" fillId="0" borderId="0" xfId="4" applyNumberFormat="1" applyFont="1" applyAlignment="1" applyProtection="1">
      <alignment horizontal="left"/>
      <protection locked="0"/>
    </xf>
    <xf numFmtId="1" fontId="43" fillId="0" borderId="0" xfId="4" applyNumberFormat="1" applyFont="1" applyAlignment="1" applyProtection="1">
      <alignment horizontal="left"/>
      <protection locked="0"/>
    </xf>
    <xf numFmtId="0" fontId="27" fillId="0" borderId="0" xfId="4" applyFont="1" applyAlignment="1" applyProtection="1">
      <alignment horizontal="left" vertical="center"/>
      <protection locked="0"/>
    </xf>
    <xf numFmtId="4" fontId="27" fillId="0" borderId="0" xfId="4" applyNumberFormat="1" applyFont="1" applyAlignment="1" applyProtection="1">
      <alignment horizontal="left" vertical="center"/>
      <protection locked="0"/>
    </xf>
    <xf numFmtId="2" fontId="27" fillId="0" borderId="0" xfId="4" applyNumberFormat="1" applyFont="1" applyAlignment="1" applyProtection="1">
      <alignment horizontal="left" vertical="center"/>
      <protection locked="0"/>
    </xf>
    <xf numFmtId="0" fontId="30" fillId="0" borderId="0" xfId="4" applyFont="1" applyAlignment="1" applyProtection="1">
      <alignment horizontal="left" vertical="center"/>
      <protection locked="0"/>
    </xf>
    <xf numFmtId="3" fontId="30" fillId="0" borderId="0" xfId="4" applyNumberFormat="1" applyFont="1" applyAlignment="1" applyProtection="1">
      <alignment horizontal="left" vertical="center"/>
      <protection locked="0"/>
    </xf>
    <xf numFmtId="0" fontId="40" fillId="0" borderId="0" xfId="4" applyFont="1" applyAlignment="1" applyProtection="1">
      <alignment horizontal="left" vertical="center"/>
      <protection locked="0"/>
    </xf>
    <xf numFmtId="0" fontId="56" fillId="0" borderId="0" xfId="4" applyFont="1" applyAlignment="1" applyProtection="1">
      <alignment horizontal="left" vertical="center"/>
      <protection locked="0"/>
    </xf>
    <xf numFmtId="3" fontId="56" fillId="0" borderId="0" xfId="4" applyNumberFormat="1" applyFont="1" applyAlignment="1" applyProtection="1">
      <alignment horizontal="left" vertical="center"/>
      <protection locked="0"/>
    </xf>
    <xf numFmtId="0" fontId="33" fillId="0" borderId="0" xfId="4" applyFont="1" applyAlignment="1" applyProtection="1">
      <alignment horizontal="left" vertical="center"/>
      <protection locked="0"/>
    </xf>
    <xf numFmtId="1" fontId="34" fillId="0" borderId="0" xfId="4" applyNumberFormat="1" applyFont="1" applyAlignment="1" applyProtection="1">
      <alignment horizontal="left" vertical="center"/>
      <protection locked="0"/>
    </xf>
    <xf numFmtId="0" fontId="41" fillId="0" borderId="0" xfId="4" applyFont="1" applyAlignment="1" applyProtection="1">
      <alignment horizontal="left" vertical="center"/>
      <protection locked="0"/>
    </xf>
    <xf numFmtId="0" fontId="31" fillId="0" borderId="0" xfId="4" applyFont="1" applyAlignment="1" applyProtection="1">
      <alignment horizontal="left" vertical="center"/>
      <protection locked="0"/>
    </xf>
    <xf numFmtId="0" fontId="35" fillId="0" borderId="0" xfId="4" applyFont="1" applyAlignment="1" applyProtection="1">
      <alignment horizontal="left" vertical="center"/>
      <protection locked="0"/>
    </xf>
    <xf numFmtId="0" fontId="39" fillId="0" borderId="0" xfId="4" applyFont="1" applyAlignment="1" applyProtection="1">
      <alignment horizontal="left" vertical="center"/>
      <protection locked="0"/>
    </xf>
    <xf numFmtId="0" fontId="37" fillId="0" borderId="0" xfId="4" applyFont="1" applyAlignment="1" applyProtection="1">
      <alignment horizontal="left" vertical="center"/>
      <protection locked="0"/>
    </xf>
    <xf numFmtId="0" fontId="42" fillId="0" borderId="0" xfId="4" applyFont="1" applyAlignment="1" applyProtection="1">
      <alignment horizontal="left" vertical="center"/>
      <protection locked="0"/>
    </xf>
    <xf numFmtId="0" fontId="44" fillId="0" borderId="0" xfId="4" applyFont="1" applyAlignment="1" applyProtection="1">
      <alignment horizontal="left" vertical="center"/>
      <protection locked="0"/>
    </xf>
    <xf numFmtId="0" fontId="9" fillId="0" borderId="0" xfId="4" applyFont="1" applyAlignment="1" applyProtection="1">
      <alignment horizontal="left" vertical="center"/>
      <protection locked="0"/>
    </xf>
    <xf numFmtId="4" fontId="29" fillId="0" borderId="0" xfId="4" applyNumberFormat="1" applyFont="1" applyAlignment="1" applyProtection="1">
      <alignment horizontal="left" vertical="center"/>
      <protection locked="0"/>
    </xf>
    <xf numFmtId="4" fontId="9" fillId="0" borderId="0" xfId="4" applyNumberFormat="1" applyFont="1" applyAlignment="1" applyProtection="1">
      <alignment horizontal="left" vertical="center"/>
      <protection locked="0"/>
    </xf>
    <xf numFmtId="0" fontId="27" fillId="0" borderId="0" xfId="4" applyFont="1" applyAlignment="1" applyProtection="1">
      <alignment horizontal="left"/>
      <protection locked="0"/>
    </xf>
    <xf numFmtId="4" fontId="27" fillId="0" borderId="0" xfId="4" applyNumberFormat="1" applyFont="1" applyAlignment="1" applyProtection="1">
      <alignment horizontal="left"/>
      <protection locked="0"/>
    </xf>
    <xf numFmtId="2" fontId="27" fillId="0" borderId="0" xfId="4" applyNumberFormat="1" applyFont="1" applyAlignment="1" applyProtection="1">
      <alignment horizontal="left"/>
      <protection locked="0"/>
    </xf>
    <xf numFmtId="3" fontId="30" fillId="0" borderId="0" xfId="4" applyNumberFormat="1" applyFont="1" applyAlignment="1" applyProtection="1">
      <alignment horizontal="left"/>
      <protection locked="0"/>
    </xf>
    <xf numFmtId="0" fontId="30" fillId="0" borderId="0" xfId="4" applyFont="1" applyAlignment="1" applyProtection="1">
      <alignment horizontal="left"/>
      <protection locked="0"/>
    </xf>
    <xf numFmtId="0" fontId="40" fillId="0" borderId="0" xfId="4" applyFont="1" applyAlignment="1" applyProtection="1">
      <alignment horizontal="left"/>
      <protection locked="0"/>
    </xf>
    <xf numFmtId="0" fontId="33" fillId="0" borderId="0" xfId="4" applyFont="1" applyAlignment="1" applyProtection="1">
      <alignment horizontal="left"/>
      <protection locked="0"/>
    </xf>
    <xf numFmtId="1" fontId="34" fillId="0" borderId="0" xfId="4" applyNumberFormat="1" applyFont="1" applyAlignment="1" applyProtection="1">
      <alignment horizontal="left"/>
      <protection locked="0"/>
    </xf>
    <xf numFmtId="0" fontId="41" fillId="0" borderId="0" xfId="4" applyFont="1" applyAlignment="1" applyProtection="1">
      <alignment horizontal="left"/>
      <protection locked="0"/>
    </xf>
    <xf numFmtId="0" fontId="31" fillId="0" borderId="0" xfId="4" applyFont="1" applyAlignment="1" applyProtection="1">
      <alignment horizontal="left"/>
      <protection locked="0"/>
    </xf>
    <xf numFmtId="0" fontId="35" fillId="0" borderId="0" xfId="4" applyFont="1" applyAlignment="1" applyProtection="1">
      <alignment horizontal="left"/>
      <protection locked="0"/>
    </xf>
    <xf numFmtId="0" fontId="39" fillId="0" borderId="0" xfId="4" applyFont="1" applyAlignment="1" applyProtection="1">
      <alignment horizontal="left"/>
      <protection locked="0"/>
    </xf>
    <xf numFmtId="0" fontId="37" fillId="0" borderId="0" xfId="4" applyFont="1" applyAlignment="1" applyProtection="1">
      <alignment horizontal="left"/>
      <protection locked="0"/>
    </xf>
    <xf numFmtId="0" fontId="42" fillId="0" borderId="0" xfId="4" applyFont="1" applyAlignment="1" applyProtection="1">
      <alignment horizontal="left"/>
      <protection locked="0"/>
    </xf>
    <xf numFmtId="0" fontId="44" fillId="0" borderId="0" xfId="4" applyFont="1" applyAlignment="1" applyProtection="1">
      <alignment horizontal="left"/>
      <protection locked="0"/>
    </xf>
    <xf numFmtId="0" fontId="9" fillId="0" borderId="0" xfId="4" applyFont="1" applyAlignment="1" applyProtection="1">
      <alignment horizontal="left"/>
      <protection locked="0"/>
    </xf>
    <xf numFmtId="4" fontId="9" fillId="0" borderId="0" xfId="4" applyNumberFormat="1" applyFont="1" applyAlignment="1" applyProtection="1">
      <alignment horizontal="left"/>
      <protection locked="0"/>
    </xf>
    <xf numFmtId="0" fontId="58" fillId="0" borderId="13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59" fillId="0" borderId="0" xfId="0" applyFont="1" applyAlignment="1" applyProtection="1">
      <alignment horizontal="left" vertical="center"/>
      <protection locked="0"/>
    </xf>
    <xf numFmtId="4" fontId="54" fillId="0" borderId="1" xfId="0" applyNumberFormat="1" applyFont="1" applyBorder="1" applyAlignment="1">
      <alignment horizontal="center" vertical="center"/>
    </xf>
    <xf numFmtId="49" fontId="54" fillId="0" borderId="2" xfId="0" applyNumberFormat="1" applyFont="1" applyBorder="1" applyAlignment="1" applyProtection="1">
      <alignment horizontal="center" vertical="center"/>
      <protection locked="0"/>
    </xf>
    <xf numFmtId="3" fontId="61" fillId="0" borderId="0" xfId="4" applyNumberFormat="1" applyFont="1" applyAlignment="1" applyProtection="1">
      <alignment horizontal="center" vertical="center"/>
      <protection locked="0"/>
    </xf>
    <xf numFmtId="3" fontId="61" fillId="0" borderId="0" xfId="4" applyNumberFormat="1" applyFont="1" applyAlignment="1" applyProtection="1">
      <alignment horizontal="center"/>
      <protection locked="0"/>
    </xf>
    <xf numFmtId="4" fontId="48" fillId="0" borderId="0" xfId="0" applyNumberFormat="1" applyFont="1" applyAlignment="1">
      <alignment horizontal="center" vertical="center"/>
    </xf>
    <xf numFmtId="0" fontId="54" fillId="0" borderId="9" xfId="2" applyFont="1" applyBorder="1" applyAlignment="1" applyProtection="1">
      <alignment horizontal="center" vertical="center" wrapText="1"/>
      <protection locked="0"/>
    </xf>
    <xf numFmtId="0" fontId="62" fillId="0" borderId="0" xfId="4" applyFont="1" applyAlignment="1" applyProtection="1">
      <alignment horizontal="left" vertical="center"/>
      <protection locked="0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187" fontId="24" fillId="0" borderId="4" xfId="0" applyNumberFormat="1" applyFont="1" applyBorder="1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 wrapText="1"/>
      <protection locked="0"/>
    </xf>
    <xf numFmtId="0" fontId="65" fillId="0" borderId="1" xfId="0" applyFont="1" applyBorder="1" applyAlignment="1" applyProtection="1">
      <alignment horizontal="center" vertical="center"/>
      <protection locked="0"/>
    </xf>
    <xf numFmtId="0" fontId="65" fillId="0" borderId="1" xfId="0" applyFont="1" applyBorder="1" applyAlignment="1" applyProtection="1">
      <alignment horizontal="center" vertical="center" shrinkToFit="1"/>
      <protection locked="0"/>
    </xf>
    <xf numFmtId="4" fontId="65" fillId="0" borderId="1" xfId="0" applyNumberFormat="1" applyFont="1" applyBorder="1" applyAlignment="1">
      <alignment horizontal="center" vertical="center"/>
    </xf>
    <xf numFmtId="4" fontId="65" fillId="0" borderId="1" xfId="0" applyNumberFormat="1" applyFont="1" applyBorder="1" applyAlignment="1" applyProtection="1">
      <alignment horizontal="center" vertical="center" shrinkToFit="1"/>
      <protection locked="0"/>
    </xf>
    <xf numFmtId="4" fontId="65" fillId="0" borderId="1" xfId="0" applyNumberFormat="1" applyFont="1" applyBorder="1" applyAlignment="1" applyProtection="1">
      <alignment horizontal="center" vertical="center"/>
      <protection locked="0"/>
    </xf>
    <xf numFmtId="4" fontId="65" fillId="0" borderId="1" xfId="0" applyNumberFormat="1" applyFont="1" applyBorder="1" applyAlignment="1">
      <alignment horizontal="center" vertical="center" shrinkToFit="1"/>
    </xf>
    <xf numFmtId="0" fontId="66" fillId="0" borderId="8" xfId="2" applyFont="1" applyBorder="1" applyAlignment="1" applyProtection="1">
      <alignment horizontal="center" vertical="center"/>
      <protection locked="0"/>
    </xf>
    <xf numFmtId="187" fontId="11" fillId="0" borderId="4" xfId="0" applyNumberFormat="1" applyFont="1" applyBorder="1" applyAlignment="1" applyProtection="1">
      <alignment horizontal="center" vertical="center"/>
      <protection locked="0"/>
    </xf>
    <xf numFmtId="0" fontId="68" fillId="0" borderId="1" xfId="0" applyFont="1" applyBorder="1" applyAlignment="1" applyProtection="1">
      <alignment horizontal="center" vertical="center"/>
      <protection locked="0"/>
    </xf>
    <xf numFmtId="4" fontId="68" fillId="0" borderId="1" xfId="0" applyNumberFormat="1" applyFont="1" applyBorder="1" applyAlignment="1" applyProtection="1">
      <alignment horizontal="center" vertical="center" shrinkToFit="1"/>
      <protection locked="0"/>
    </xf>
    <xf numFmtId="4" fontId="68" fillId="0" borderId="1" xfId="0" applyNumberFormat="1" applyFont="1" applyBorder="1" applyAlignment="1" applyProtection="1">
      <alignment horizontal="center" vertical="center"/>
      <protection locked="0"/>
    </xf>
    <xf numFmtId="4" fontId="68" fillId="0" borderId="1" xfId="0" applyNumberFormat="1" applyFont="1" applyBorder="1" applyAlignment="1">
      <alignment horizontal="center" vertical="center"/>
    </xf>
    <xf numFmtId="0" fontId="54" fillId="0" borderId="0" xfId="0" applyFont="1" applyAlignment="1" applyProtection="1">
      <alignment horizontal="center" vertical="center" wrapText="1"/>
      <protection locked="0"/>
    </xf>
    <xf numFmtId="49" fontId="65" fillId="0" borderId="1" xfId="0" applyNumberFormat="1" applyFont="1" applyBorder="1" applyAlignment="1" applyProtection="1">
      <alignment horizontal="center" vertical="center"/>
      <protection locked="0"/>
    </xf>
    <xf numFmtId="0" fontId="58" fillId="5" borderId="32" xfId="0" applyFont="1" applyFill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0" fontId="58" fillId="0" borderId="36" xfId="0" applyFont="1" applyBorder="1" applyAlignment="1">
      <alignment horizontal="center" vertical="center"/>
    </xf>
    <xf numFmtId="0" fontId="58" fillId="0" borderId="37" xfId="0" applyFont="1" applyBorder="1" applyAlignment="1">
      <alignment horizontal="center" vertical="center"/>
    </xf>
    <xf numFmtId="2" fontId="58" fillId="0" borderId="37" xfId="0" applyNumberFormat="1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58" fillId="0" borderId="16" xfId="0" applyFont="1" applyBorder="1" applyAlignment="1">
      <alignment horizontal="center" vertical="center"/>
    </xf>
    <xf numFmtId="1" fontId="58" fillId="0" borderId="37" xfId="0" applyNumberFormat="1" applyFon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0" fontId="68" fillId="0" borderId="9" xfId="0" applyFont="1" applyBorder="1" applyAlignment="1" applyProtection="1">
      <alignment horizontal="center" vertical="center" wrapText="1"/>
      <protection locked="0"/>
    </xf>
    <xf numFmtId="0" fontId="58" fillId="6" borderId="29" xfId="0" applyFont="1" applyFill="1" applyBorder="1" applyAlignment="1">
      <alignment horizontal="center" vertical="center"/>
    </xf>
    <xf numFmtId="0" fontId="58" fillId="6" borderId="21" xfId="0" applyFont="1" applyFill="1" applyBorder="1"/>
    <xf numFmtId="0" fontId="58" fillId="6" borderId="22" xfId="0" applyFont="1" applyFill="1" applyBorder="1"/>
    <xf numFmtId="0" fontId="58" fillId="6" borderId="0" xfId="0" applyFont="1" applyFill="1"/>
    <xf numFmtId="0" fontId="70" fillId="0" borderId="4" xfId="5" applyFont="1" applyBorder="1" applyAlignment="1">
      <alignment horizontal="center"/>
    </xf>
    <xf numFmtId="190" fontId="70" fillId="0" borderId="1" xfId="2" applyNumberFormat="1" applyFont="1" applyBorder="1" applyAlignment="1">
      <alignment horizontal="center"/>
    </xf>
    <xf numFmtId="49" fontId="70" fillId="0" borderId="1" xfId="2" applyNumberFormat="1" applyFont="1" applyBorder="1" applyAlignment="1">
      <alignment horizontal="center"/>
    </xf>
    <xf numFmtId="43" fontId="70" fillId="0" borderId="9" xfId="1" applyFont="1" applyFill="1" applyBorder="1" applyAlignment="1">
      <alignment horizontal="center"/>
    </xf>
    <xf numFmtId="0" fontId="65" fillId="0" borderId="9" xfId="0" applyFont="1" applyBorder="1" applyAlignment="1" applyProtection="1">
      <alignment horizontal="center" vertical="center" wrapText="1"/>
      <protection locked="0"/>
    </xf>
    <xf numFmtId="0" fontId="66" fillId="0" borderId="1" xfId="2" applyFont="1" applyBorder="1" applyAlignment="1" applyProtection="1">
      <alignment horizontal="center" vertical="center"/>
      <protection locked="0"/>
    </xf>
    <xf numFmtId="4" fontId="71" fillId="0" borderId="0" xfId="0" applyNumberFormat="1" applyFont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72" fillId="0" borderId="0" xfId="4" applyFont="1" applyAlignment="1" applyProtection="1">
      <alignment horizontal="center" vertical="center"/>
      <protection locked="0"/>
    </xf>
    <xf numFmtId="0" fontId="73" fillId="0" borderId="0" xfId="4" applyFont="1" applyAlignment="1" applyProtection="1">
      <alignment horizontal="left" vertical="center"/>
      <protection locked="0"/>
    </xf>
    <xf numFmtId="4" fontId="73" fillId="0" borderId="0" xfId="4" applyNumberFormat="1" applyFont="1" applyAlignment="1" applyProtection="1">
      <alignment horizontal="left" vertical="center"/>
      <protection locked="0"/>
    </xf>
    <xf numFmtId="0" fontId="73" fillId="0" borderId="0" xfId="4" applyFont="1" applyAlignment="1" applyProtection="1">
      <alignment horizontal="center" vertical="center"/>
      <protection locked="0"/>
    </xf>
    <xf numFmtId="4" fontId="68" fillId="0" borderId="0" xfId="0" applyNumberFormat="1" applyFont="1" applyAlignment="1" applyProtection="1">
      <alignment horizontal="center" vertical="center"/>
      <protection locked="0"/>
    </xf>
    <xf numFmtId="0" fontId="74" fillId="0" borderId="0" xfId="0" applyFont="1" applyAlignment="1" applyProtection="1">
      <alignment horizontal="center" vertical="center"/>
      <protection locked="0"/>
    </xf>
    <xf numFmtId="2" fontId="73" fillId="0" borderId="0" xfId="4" applyNumberFormat="1" applyFont="1" applyAlignment="1" applyProtection="1">
      <alignment horizontal="left" vertical="center"/>
      <protection locked="0"/>
    </xf>
    <xf numFmtId="0" fontId="75" fillId="0" borderId="0" xfId="4" applyFont="1" applyAlignment="1" applyProtection="1">
      <alignment horizontal="left" vertical="center"/>
      <protection locked="0"/>
    </xf>
    <xf numFmtId="3" fontId="75" fillId="0" borderId="0" xfId="4" applyNumberFormat="1" applyFont="1" applyAlignment="1" applyProtection="1">
      <alignment horizontal="left" vertical="center"/>
      <protection locked="0"/>
    </xf>
    <xf numFmtId="0" fontId="75" fillId="0" borderId="0" xfId="4" applyFont="1" applyAlignment="1" applyProtection="1">
      <alignment horizontal="center" vertical="center"/>
      <protection locked="0"/>
    </xf>
    <xf numFmtId="0" fontId="76" fillId="0" borderId="0" xfId="4" applyFont="1" applyAlignment="1" applyProtection="1">
      <alignment horizontal="left" vertical="center"/>
      <protection locked="0"/>
    </xf>
    <xf numFmtId="3" fontId="76" fillId="0" borderId="0" xfId="4" applyNumberFormat="1" applyFont="1" applyAlignment="1" applyProtection="1">
      <alignment horizontal="left" vertical="center"/>
      <protection locked="0"/>
    </xf>
    <xf numFmtId="0" fontId="77" fillId="0" borderId="0" xfId="4" applyFont="1" applyAlignment="1" applyProtection="1">
      <alignment horizontal="left" vertical="center"/>
      <protection locked="0"/>
    </xf>
    <xf numFmtId="1" fontId="78" fillId="0" borderId="0" xfId="4" applyNumberFormat="1" applyFont="1" applyAlignment="1" applyProtection="1">
      <alignment horizontal="left" vertical="center"/>
      <protection locked="0"/>
    </xf>
    <xf numFmtId="0" fontId="79" fillId="0" borderId="0" xfId="4" applyFont="1" applyAlignment="1" applyProtection="1">
      <alignment horizontal="left" vertical="center"/>
      <protection locked="0"/>
    </xf>
    <xf numFmtId="1" fontId="80" fillId="0" borderId="0" xfId="4" applyNumberFormat="1" applyFont="1" applyAlignment="1" applyProtection="1">
      <alignment horizontal="left" vertical="center"/>
      <protection locked="0"/>
    </xf>
    <xf numFmtId="0" fontId="81" fillId="0" borderId="0" xfId="4" applyFont="1" applyAlignment="1" applyProtection="1">
      <alignment horizontal="left" vertical="center"/>
      <protection locked="0"/>
    </xf>
    <xf numFmtId="1" fontId="82" fillId="0" borderId="0" xfId="4" applyNumberFormat="1" applyFont="1" applyAlignment="1" applyProtection="1">
      <alignment horizontal="left" vertical="center"/>
      <protection locked="0"/>
    </xf>
    <xf numFmtId="1" fontId="83" fillId="0" borderId="0" xfId="4" applyNumberFormat="1" applyFont="1" applyAlignment="1" applyProtection="1">
      <alignment horizontal="left" vertical="center"/>
      <protection locked="0"/>
    </xf>
    <xf numFmtId="0" fontId="84" fillId="0" borderId="0" xfId="4" applyFont="1" applyAlignment="1" applyProtection="1">
      <alignment horizontal="center" vertical="center"/>
      <protection locked="0"/>
    </xf>
    <xf numFmtId="1" fontId="85" fillId="0" borderId="0" xfId="4" applyNumberFormat="1" applyFont="1" applyAlignment="1" applyProtection="1">
      <alignment horizontal="left" vertical="center"/>
      <protection locked="0"/>
    </xf>
    <xf numFmtId="0" fontId="65" fillId="0" borderId="0" xfId="4" applyFont="1" applyAlignment="1" applyProtection="1">
      <alignment horizontal="center" vertical="center"/>
      <protection locked="0"/>
    </xf>
    <xf numFmtId="0" fontId="86" fillId="0" borderId="0" xfId="4" applyFont="1" applyAlignment="1" applyProtection="1">
      <alignment horizontal="left" vertical="center"/>
      <protection locked="0"/>
    </xf>
    <xf numFmtId="4" fontId="87" fillId="0" borderId="0" xfId="4" applyNumberFormat="1" applyFont="1" applyAlignment="1" applyProtection="1">
      <alignment horizontal="left" vertical="center"/>
      <protection locked="0"/>
    </xf>
    <xf numFmtId="4" fontId="86" fillId="0" borderId="0" xfId="4" applyNumberFormat="1" applyFont="1" applyAlignment="1" applyProtection="1">
      <alignment horizontal="left" vertical="center"/>
      <protection locked="0"/>
    </xf>
    <xf numFmtId="0" fontId="86" fillId="0" borderId="0" xfId="4" applyFont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190" fontId="88" fillId="0" borderId="1" xfId="2" applyNumberFormat="1" applyFont="1" applyBorder="1" applyAlignment="1">
      <alignment horizontal="center"/>
    </xf>
    <xf numFmtId="43" fontId="88" fillId="0" borderId="9" xfId="1" applyFont="1" applyFill="1" applyBorder="1" applyAlignment="1">
      <alignment horizontal="center"/>
    </xf>
    <xf numFmtId="0" fontId="89" fillId="0" borderId="10" xfId="5" applyFont="1" applyBorder="1" applyAlignment="1">
      <alignment horizontal="center" vertical="center"/>
    </xf>
    <xf numFmtId="0" fontId="89" fillId="0" borderId="5" xfId="2" applyFont="1" applyBorder="1" applyAlignment="1">
      <alignment horizontal="center" vertical="center"/>
    </xf>
    <xf numFmtId="0" fontId="89" fillId="0" borderId="6" xfId="2" applyFont="1" applyBorder="1" applyAlignment="1">
      <alignment horizontal="center" vertical="center"/>
    </xf>
    <xf numFmtId="0" fontId="89" fillId="0" borderId="11" xfId="0" applyFont="1" applyBorder="1" applyAlignment="1">
      <alignment horizontal="center"/>
    </xf>
    <xf numFmtId="0" fontId="89" fillId="0" borderId="2" xfId="0" applyFont="1" applyBorder="1" applyAlignment="1">
      <alignment horizontal="center"/>
    </xf>
    <xf numFmtId="43" fontId="89" fillId="0" borderId="3" xfId="0" applyNumberFormat="1" applyFont="1" applyBorder="1" applyAlignment="1">
      <alignment horizontal="center"/>
    </xf>
    <xf numFmtId="0" fontId="90" fillId="0" borderId="8" xfId="2" applyFont="1" applyBorder="1" applyAlignment="1" applyProtection="1">
      <alignment horizontal="center" vertical="center"/>
      <protection locked="0"/>
    </xf>
    <xf numFmtId="4" fontId="54" fillId="0" borderId="5" xfId="0" applyNumberFormat="1" applyFont="1" applyBorder="1" applyAlignment="1" applyProtection="1">
      <alignment horizontal="center" vertical="center"/>
      <protection locked="0"/>
    </xf>
    <xf numFmtId="0" fontId="90" fillId="0" borderId="1" xfId="2" applyFont="1" applyBorder="1" applyAlignment="1" applyProtection="1">
      <alignment horizontal="center" vertical="center"/>
      <protection locked="0"/>
    </xf>
    <xf numFmtId="187" fontId="4" fillId="0" borderId="1" xfId="2" applyNumberFormat="1" applyFont="1" applyBorder="1" applyAlignment="1" applyProtection="1">
      <alignment horizontal="center" vertical="center"/>
      <protection locked="0"/>
    </xf>
    <xf numFmtId="0" fontId="12" fillId="4" borderId="1" xfId="2" applyFont="1" applyFill="1" applyBorder="1" applyAlignment="1" applyProtection="1">
      <alignment horizontal="center" vertical="center"/>
      <protection locked="0"/>
    </xf>
    <xf numFmtId="49" fontId="4" fillId="0" borderId="1" xfId="2" applyNumberFormat="1" applyFont="1" applyBorder="1" applyAlignment="1" applyProtection="1">
      <alignment horizontal="center" vertical="center"/>
      <protection locked="0"/>
    </xf>
    <xf numFmtId="4" fontId="4" fillId="0" borderId="1" xfId="2" applyNumberFormat="1" applyFont="1" applyBorder="1" applyAlignment="1" applyProtection="1">
      <alignment horizontal="center" vertical="center" shrinkToFit="1"/>
      <protection locked="0"/>
    </xf>
    <xf numFmtId="4" fontId="12" fillId="4" borderId="1" xfId="2" applyNumberFormat="1" applyFont="1" applyFill="1" applyBorder="1" applyAlignment="1" applyProtection="1">
      <alignment horizontal="center" vertical="center" shrinkToFit="1"/>
      <protection locked="0"/>
    </xf>
    <xf numFmtId="4" fontId="12" fillId="4" borderId="1" xfId="2" applyNumberFormat="1" applyFont="1" applyFill="1" applyBorder="1" applyAlignment="1" applyProtection="1">
      <alignment horizontal="center" vertical="center"/>
      <protection locked="0"/>
    </xf>
    <xf numFmtId="0" fontId="23" fillId="0" borderId="1" xfId="2" applyFont="1" applyBorder="1" applyAlignment="1" applyProtection="1">
      <alignment horizontal="center" vertical="center"/>
      <protection locked="0"/>
    </xf>
    <xf numFmtId="4" fontId="5" fillId="0" borderId="1" xfId="2" applyNumberFormat="1" applyFont="1" applyBorder="1" applyAlignment="1" applyProtection="1">
      <alignment horizontal="center" vertical="center" shrinkToFit="1"/>
      <protection locked="0"/>
    </xf>
    <xf numFmtId="4" fontId="5" fillId="0" borderId="1" xfId="2" applyNumberFormat="1" applyFont="1" applyBorder="1" applyAlignment="1" applyProtection="1">
      <alignment horizontal="center" vertical="center"/>
      <protection locked="0"/>
    </xf>
    <xf numFmtId="0" fontId="22" fillId="0" borderId="1" xfId="2" applyFont="1" applyBorder="1" applyAlignment="1" applyProtection="1">
      <alignment horizontal="center" vertical="center"/>
      <protection locked="0"/>
    </xf>
    <xf numFmtId="187" fontId="52" fillId="0" borderId="1" xfId="0" applyNumberFormat="1" applyFont="1" applyBorder="1" applyAlignment="1" applyProtection="1">
      <alignment horizontal="center" vertical="center"/>
      <protection locked="0"/>
    </xf>
    <xf numFmtId="0" fontId="91" fillId="0" borderId="4" xfId="5" applyFont="1" applyBorder="1" applyAlignment="1">
      <alignment horizontal="center"/>
    </xf>
    <xf numFmtId="190" fontId="91" fillId="0" borderId="1" xfId="2" applyNumberFormat="1" applyFont="1" applyBorder="1" applyAlignment="1">
      <alignment horizontal="center"/>
    </xf>
    <xf numFmtId="49" fontId="91" fillId="0" borderId="1" xfId="2" applyNumberFormat="1" applyFont="1" applyBorder="1" applyAlignment="1">
      <alignment horizontal="center"/>
    </xf>
    <xf numFmtId="43" fontId="91" fillId="0" borderId="9" xfId="1" applyFont="1" applyFill="1" applyBorder="1" applyAlignment="1">
      <alignment horizontal="center"/>
    </xf>
    <xf numFmtId="187" fontId="4" fillId="0" borderId="10" xfId="2" applyNumberFormat="1" applyFont="1" applyBorder="1" applyAlignment="1" applyProtection="1">
      <alignment horizontal="center" vertical="center"/>
      <protection locked="0"/>
    </xf>
    <xf numFmtId="0" fontId="12" fillId="4" borderId="5" xfId="2" applyFont="1" applyFill="1" applyBorder="1" applyAlignment="1" applyProtection="1">
      <alignment horizontal="center" vertical="center"/>
      <protection locked="0"/>
    </xf>
    <xf numFmtId="49" fontId="4" fillId="0" borderId="5" xfId="2" applyNumberFormat="1" applyFont="1" applyBorder="1" applyAlignment="1" applyProtection="1">
      <alignment horizontal="center" vertical="center"/>
      <protection locked="0"/>
    </xf>
    <xf numFmtId="4" fontId="4" fillId="0" borderId="5" xfId="2" applyNumberFormat="1" applyFont="1" applyBorder="1" applyAlignment="1" applyProtection="1">
      <alignment horizontal="center" vertical="center" shrinkToFit="1"/>
      <protection locked="0"/>
    </xf>
    <xf numFmtId="4" fontId="12" fillId="4" borderId="5" xfId="2" applyNumberFormat="1" applyFont="1" applyFill="1" applyBorder="1" applyAlignment="1" applyProtection="1">
      <alignment horizontal="center" vertical="center" shrinkToFit="1"/>
      <protection locked="0"/>
    </xf>
    <xf numFmtId="4" fontId="12" fillId="4" borderId="5" xfId="2" applyNumberFormat="1" applyFont="1" applyFill="1" applyBorder="1" applyAlignment="1" applyProtection="1">
      <alignment horizontal="center" vertical="center"/>
      <protection locked="0"/>
    </xf>
    <xf numFmtId="4" fontId="5" fillId="0" borderId="5" xfId="2" applyNumberFormat="1" applyFont="1" applyBorder="1" applyAlignment="1" applyProtection="1">
      <alignment horizontal="center" vertical="center"/>
      <protection locked="0"/>
    </xf>
    <xf numFmtId="0" fontId="22" fillId="0" borderId="6" xfId="2" applyFont="1" applyBorder="1" applyAlignment="1" applyProtection="1">
      <alignment horizontal="center" vertical="center"/>
      <protection locked="0"/>
    </xf>
    <xf numFmtId="0" fontId="90" fillId="0" borderId="9" xfId="2" applyFont="1" applyBorder="1" applyAlignment="1" applyProtection="1">
      <alignment horizontal="center" vertical="center"/>
      <protection locked="0"/>
    </xf>
    <xf numFmtId="0" fontId="53" fillId="0" borderId="2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 applyProtection="1">
      <alignment horizontal="center" vertical="center"/>
      <protection locked="0"/>
    </xf>
    <xf numFmtId="0" fontId="90" fillId="0" borderId="3" xfId="2" applyFont="1" applyBorder="1" applyAlignment="1" applyProtection="1">
      <alignment horizontal="center" vertical="center"/>
      <protection locked="0"/>
    </xf>
    <xf numFmtId="4" fontId="54" fillId="0" borderId="9" xfId="0" applyNumberFormat="1" applyFont="1" applyBorder="1" applyAlignment="1" applyProtection="1">
      <alignment horizontal="center" vertical="center" wrapText="1"/>
      <protection locked="0"/>
    </xf>
    <xf numFmtId="49" fontId="88" fillId="0" borderId="1" xfId="2" applyNumberFormat="1" applyFont="1" applyBorder="1" applyAlignment="1">
      <alignment horizontal="center"/>
    </xf>
    <xf numFmtId="0" fontId="93" fillId="0" borderId="0" xfId="0" applyFont="1" applyAlignment="1" applyProtection="1">
      <alignment horizontal="center" vertical="center"/>
      <protection locked="0"/>
    </xf>
    <xf numFmtId="187" fontId="57" fillId="0" borderId="25" xfId="2" applyNumberFormat="1" applyFont="1" applyBorder="1" applyAlignment="1" applyProtection="1">
      <alignment horizontal="center" vertical="center"/>
      <protection locked="0"/>
    </xf>
    <xf numFmtId="0" fontId="69" fillId="4" borderId="26" xfId="2" applyFont="1" applyFill="1" applyBorder="1" applyAlignment="1" applyProtection="1">
      <alignment horizontal="center" vertical="center"/>
      <protection locked="0"/>
    </xf>
    <xf numFmtId="49" fontId="57" fillId="0" borderId="27" xfId="2" applyNumberFormat="1" applyFont="1" applyBorder="1" applyAlignment="1" applyProtection="1">
      <alignment horizontal="center" vertical="center"/>
      <protection locked="0"/>
    </xf>
    <xf numFmtId="4" fontId="57" fillId="0" borderId="26" xfId="2" applyNumberFormat="1" applyFont="1" applyBorder="1" applyAlignment="1" applyProtection="1">
      <alignment horizontal="center" vertical="center" shrinkToFit="1"/>
      <protection locked="0"/>
    </xf>
    <xf numFmtId="4" fontId="69" fillId="4" borderId="26" xfId="2" applyNumberFormat="1" applyFont="1" applyFill="1" applyBorder="1" applyAlignment="1" applyProtection="1">
      <alignment horizontal="center" vertical="center" shrinkToFit="1"/>
      <protection locked="0"/>
    </xf>
    <xf numFmtId="4" fontId="69" fillId="4" borderId="26" xfId="2" applyNumberFormat="1" applyFont="1" applyFill="1" applyBorder="1" applyAlignment="1" applyProtection="1">
      <alignment horizontal="center" vertical="center"/>
      <protection locked="0"/>
    </xf>
    <xf numFmtId="4" fontId="69" fillId="4" borderId="10" xfId="2" applyNumberFormat="1" applyFont="1" applyFill="1" applyBorder="1" applyAlignment="1" applyProtection="1">
      <alignment horizontal="center" vertical="center"/>
      <protection locked="0"/>
    </xf>
    <xf numFmtId="4" fontId="94" fillId="0" borderId="5" xfId="2" applyNumberFormat="1" applyFont="1" applyBorder="1" applyAlignment="1" applyProtection="1">
      <alignment horizontal="center" vertical="center" shrinkToFit="1"/>
      <protection locked="0"/>
    </xf>
    <xf numFmtId="4" fontId="94" fillId="0" borderId="26" xfId="2" applyNumberFormat="1" applyFont="1" applyBorder="1" applyAlignment="1" applyProtection="1">
      <alignment horizontal="center" vertical="center"/>
      <protection locked="0"/>
    </xf>
    <xf numFmtId="0" fontId="92" fillId="0" borderId="9" xfId="2" applyFont="1" applyBorder="1" applyAlignment="1" applyProtection="1">
      <alignment horizontal="center" vertical="center" wrapText="1"/>
      <protection locked="0"/>
    </xf>
    <xf numFmtId="187" fontId="24" fillId="0" borderId="1" xfId="0" applyNumberFormat="1" applyFont="1" applyBorder="1" applyAlignment="1" applyProtection="1">
      <alignment horizontal="center" vertical="center"/>
      <protection locked="0"/>
    </xf>
    <xf numFmtId="0" fontId="95" fillId="0" borderId="1" xfId="0" applyFont="1" applyBorder="1" applyAlignment="1" applyProtection="1">
      <alignment horizontal="center" vertical="center" shrinkToFit="1"/>
      <protection locked="0"/>
    </xf>
    <xf numFmtId="0" fontId="58" fillId="0" borderId="29" xfId="0" applyFont="1" applyBorder="1" applyAlignment="1">
      <alignment horizontal="center" vertical="center"/>
    </xf>
    <xf numFmtId="0" fontId="58" fillId="0" borderId="21" xfId="0" applyFont="1" applyBorder="1"/>
    <xf numFmtId="0" fontId="58" fillId="0" borderId="22" xfId="0" applyFont="1" applyBorder="1"/>
    <xf numFmtId="4" fontId="54" fillId="0" borderId="1" xfId="0" applyNumberFormat="1" applyFont="1" applyBorder="1" applyAlignment="1" applyProtection="1">
      <alignment horizontal="center" vertical="center"/>
    </xf>
    <xf numFmtId="0" fontId="54" fillId="0" borderId="1" xfId="0" applyNumberFormat="1" applyFont="1" applyBorder="1" applyAlignment="1" applyProtection="1">
      <alignment horizontal="center" vertical="center"/>
      <protection locked="0"/>
    </xf>
    <xf numFmtId="0" fontId="54" fillId="0" borderId="1" xfId="0" applyNumberFormat="1" applyFont="1" applyBorder="1" applyAlignment="1" applyProtection="1">
      <alignment horizontal="center" vertical="center" shrinkToFit="1"/>
      <protection locked="0"/>
    </xf>
    <xf numFmtId="0" fontId="22" fillId="0" borderId="8" xfId="2" applyFont="1" applyFill="1" applyBorder="1" applyAlignment="1" applyProtection="1">
      <alignment horizontal="center" vertical="center"/>
      <protection locked="0"/>
    </xf>
    <xf numFmtId="0" fontId="51" fillId="0" borderId="4" xfId="5" applyFont="1" applyFill="1" applyBorder="1" applyAlignment="1">
      <alignment horizontal="center"/>
    </xf>
    <xf numFmtId="190" fontId="51" fillId="0" borderId="1" xfId="2" applyNumberFormat="1" applyFont="1" applyFill="1" applyBorder="1" applyAlignment="1">
      <alignment horizontal="center"/>
    </xf>
    <xf numFmtId="49" fontId="51" fillId="0" borderId="1" xfId="2" applyNumberFormat="1" applyFont="1" applyFill="1" applyBorder="1" applyAlignment="1">
      <alignment horizontal="center"/>
    </xf>
    <xf numFmtId="0" fontId="90" fillId="0" borderId="8" xfId="2" applyFont="1" applyFill="1" applyBorder="1" applyAlignment="1" applyProtection="1">
      <alignment horizontal="center" vertical="center"/>
      <protection locked="0"/>
    </xf>
    <xf numFmtId="0" fontId="22" fillId="0" borderId="9" xfId="2" applyFont="1" applyBorder="1" applyAlignment="1" applyProtection="1">
      <alignment horizontal="center" vertical="center"/>
      <protection locked="0"/>
    </xf>
    <xf numFmtId="4" fontId="65" fillId="0" borderId="1" xfId="0" applyNumberFormat="1" applyFont="1" applyBorder="1" applyAlignment="1" applyProtection="1">
      <alignment horizontal="center" vertical="center"/>
    </xf>
    <xf numFmtId="0" fontId="65" fillId="0" borderId="1" xfId="0" applyNumberFormat="1" applyFont="1" applyBorder="1" applyAlignment="1" applyProtection="1">
      <alignment horizontal="center" vertical="center" shrinkToFit="1"/>
      <protection locked="0"/>
    </xf>
    <xf numFmtId="0" fontId="65" fillId="0" borderId="9" xfId="2" applyFont="1" applyBorder="1" applyAlignment="1" applyProtection="1">
      <alignment horizontal="center" vertical="center" wrapText="1"/>
      <protection locked="0"/>
    </xf>
    <xf numFmtId="0" fontId="66" fillId="3" borderId="8" xfId="2" applyFont="1" applyFill="1" applyBorder="1" applyAlignment="1" applyProtection="1">
      <alignment horizontal="center" vertical="center"/>
      <protection locked="0"/>
    </xf>
    <xf numFmtId="0" fontId="22" fillId="0" borderId="1" xfId="2" applyFont="1" applyFill="1" applyBorder="1" applyAlignment="1" applyProtection="1">
      <alignment horizontal="center" vertical="center"/>
      <protection locked="0"/>
    </xf>
    <xf numFmtId="0" fontId="66" fillId="0" borderId="8" xfId="2" applyFont="1" applyFill="1" applyBorder="1" applyAlignment="1" applyProtection="1">
      <alignment horizontal="center" vertical="center"/>
      <protection locked="0"/>
    </xf>
    <xf numFmtId="0" fontId="96" fillId="0" borderId="0" xfId="0" applyFont="1" applyAlignment="1" applyProtection="1">
      <alignment horizontal="center" vertical="center"/>
      <protection locked="0"/>
    </xf>
    <xf numFmtId="0" fontId="65" fillId="0" borderId="1" xfId="0" applyNumberFormat="1" applyFont="1" applyBorder="1" applyAlignment="1" applyProtection="1">
      <alignment horizontal="center" vertical="center"/>
      <protection locked="0"/>
    </xf>
    <xf numFmtId="0" fontId="22" fillId="0" borderId="0" xfId="2" applyFont="1" applyFill="1" applyBorder="1" applyAlignment="1" applyProtection="1">
      <alignment horizontal="center" vertical="center"/>
      <protection locked="0"/>
    </xf>
    <xf numFmtId="0" fontId="96" fillId="0" borderId="0" xfId="0" applyFont="1" applyAlignment="1" applyProtection="1">
      <alignment vertical="center"/>
      <protection locked="0"/>
    </xf>
    <xf numFmtId="0" fontId="66" fillId="0" borderId="1" xfId="2" applyFont="1" applyFill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center" vertical="center" shrinkToFit="1"/>
      <protection locked="0"/>
    </xf>
    <xf numFmtId="0" fontId="57" fillId="0" borderId="0" xfId="2" applyFont="1" applyAlignment="1" applyProtection="1">
      <alignment horizontal="center" vertical="center" shrinkToFit="1"/>
      <protection locked="0"/>
    </xf>
    <xf numFmtId="0" fontId="60" fillId="0" borderId="0" xfId="0" applyFont="1" applyAlignment="1" applyProtection="1">
      <alignment horizontal="center" vertical="center"/>
      <protection locked="0"/>
    </xf>
    <xf numFmtId="0" fontId="10" fillId="0" borderId="0" xfId="4" applyFont="1" applyAlignment="1" applyProtection="1">
      <alignment horizontal="left" vertical="center"/>
      <protection locked="0"/>
    </xf>
    <xf numFmtId="0" fontId="13" fillId="0" borderId="0" xfId="2" applyFont="1" applyAlignment="1" applyProtection="1">
      <alignment horizontal="center" vertical="center" shrinkToFit="1"/>
      <protection locked="0"/>
    </xf>
    <xf numFmtId="0" fontId="15" fillId="0" borderId="0" xfId="2" applyFont="1" applyAlignment="1" applyProtection="1">
      <alignment vertical="center" shrinkToFit="1"/>
      <protection locked="0"/>
    </xf>
    <xf numFmtId="0" fontId="13" fillId="0" borderId="0" xfId="2" applyFont="1" applyAlignment="1" applyProtection="1">
      <alignment horizontal="center"/>
      <protection locked="0"/>
    </xf>
    <xf numFmtId="0" fontId="15" fillId="0" borderId="0" xfId="2" applyFont="1" applyAlignment="1" applyProtection="1">
      <alignment horizontal="center" shrinkToFit="1"/>
      <protection locked="0"/>
    </xf>
    <xf numFmtId="0" fontId="72" fillId="0" borderId="0" xfId="4" applyFont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center" vertical="center"/>
    </xf>
    <xf numFmtId="187" fontId="25" fillId="0" borderId="4" xfId="0" applyNumberFormat="1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49" fontId="92" fillId="0" borderId="1" xfId="0" applyNumberFormat="1" applyFont="1" applyBorder="1" applyAlignment="1" applyProtection="1">
      <alignment horizontal="center" vertical="center"/>
      <protection locked="0"/>
    </xf>
    <xf numFmtId="0" fontId="92" fillId="0" borderId="1" xfId="0" applyFont="1" applyBorder="1" applyAlignment="1" applyProtection="1">
      <alignment horizontal="center" vertical="center"/>
      <protection locked="0"/>
    </xf>
    <xf numFmtId="0" fontId="92" fillId="0" borderId="1" xfId="0" applyFont="1" applyBorder="1" applyAlignment="1" applyProtection="1">
      <alignment horizontal="center" vertical="center" shrinkToFit="1"/>
      <protection locked="0"/>
    </xf>
    <xf numFmtId="4" fontId="92" fillId="0" borderId="1" xfId="0" applyNumberFormat="1" applyFont="1" applyBorder="1" applyAlignment="1" applyProtection="1">
      <alignment horizontal="center" vertical="center"/>
    </xf>
    <xf numFmtId="4" fontId="92" fillId="0" borderId="1" xfId="0" applyNumberFormat="1" applyFont="1" applyBorder="1" applyAlignment="1" applyProtection="1">
      <alignment horizontal="center" vertical="center" shrinkToFit="1"/>
      <protection locked="0"/>
    </xf>
    <xf numFmtId="4" fontId="92" fillId="0" borderId="1" xfId="0" applyNumberFormat="1" applyFont="1" applyBorder="1" applyAlignment="1" applyProtection="1">
      <alignment horizontal="center" vertical="center"/>
      <protection locked="0"/>
    </xf>
    <xf numFmtId="187" fontId="25" fillId="0" borderId="1" xfId="0" applyNumberFormat="1" applyFont="1" applyBorder="1" applyAlignment="1" applyProtection="1">
      <alignment horizontal="center" vertical="center"/>
      <protection locked="0"/>
    </xf>
    <xf numFmtId="4" fontId="92" fillId="0" borderId="1" xfId="0" applyNumberFormat="1" applyFont="1" applyBorder="1" applyAlignment="1">
      <alignment horizontal="center" vertical="center" shrinkToFit="1"/>
    </xf>
    <xf numFmtId="4" fontId="92" fillId="0" borderId="1" xfId="0" applyNumberFormat="1" applyFont="1" applyBorder="1" applyAlignment="1">
      <alignment horizontal="center" vertical="center"/>
    </xf>
    <xf numFmtId="187" fontId="25" fillId="7" borderId="4" xfId="0" applyNumberFormat="1" applyFont="1" applyFill="1" applyBorder="1" applyAlignment="1" applyProtection="1">
      <alignment horizontal="center" vertical="center"/>
      <protection locked="0"/>
    </xf>
    <xf numFmtId="0" fontId="20" fillId="7" borderId="1" xfId="0" applyFont="1" applyFill="1" applyBorder="1" applyAlignment="1" applyProtection="1">
      <alignment horizontal="center" vertical="center" wrapText="1"/>
      <protection locked="0"/>
    </xf>
    <xf numFmtId="49" fontId="92" fillId="7" borderId="1" xfId="0" applyNumberFormat="1" applyFont="1" applyFill="1" applyBorder="1" applyAlignment="1" applyProtection="1">
      <alignment horizontal="center" vertical="center"/>
      <protection locked="0"/>
    </xf>
    <xf numFmtId="0" fontId="92" fillId="7" borderId="1" xfId="0" applyFont="1" applyFill="1" applyBorder="1" applyAlignment="1" applyProtection="1">
      <alignment horizontal="center" vertical="center"/>
      <protection locked="0"/>
    </xf>
    <xf numFmtId="0" fontId="92" fillId="7" borderId="1" xfId="0" applyFont="1" applyFill="1" applyBorder="1" applyAlignment="1" applyProtection="1">
      <alignment horizontal="center" vertical="center" shrinkToFit="1"/>
      <protection locked="0"/>
    </xf>
    <xf numFmtId="4" fontId="92" fillId="7" borderId="1" xfId="0" applyNumberFormat="1" applyFont="1" applyFill="1" applyBorder="1" applyAlignment="1">
      <alignment horizontal="center" vertical="center" shrinkToFit="1"/>
    </xf>
    <xf numFmtId="4" fontId="92" fillId="7" borderId="1" xfId="0" applyNumberFormat="1" applyFont="1" applyFill="1" applyBorder="1" applyAlignment="1" applyProtection="1">
      <alignment horizontal="center" vertical="center" shrinkToFit="1"/>
      <protection locked="0"/>
    </xf>
    <xf numFmtId="4" fontId="92" fillId="7" borderId="1" xfId="0" applyNumberFormat="1" applyFont="1" applyFill="1" applyBorder="1" applyAlignment="1" applyProtection="1">
      <alignment horizontal="center" vertical="center"/>
      <protection locked="0"/>
    </xf>
    <xf numFmtId="0" fontId="22" fillId="7" borderId="8" xfId="2" applyFont="1" applyFill="1" applyBorder="1" applyAlignment="1" applyProtection="1">
      <alignment horizontal="center" vertical="center"/>
      <protection locked="0"/>
    </xf>
    <xf numFmtId="0" fontId="92" fillId="0" borderId="1" xfId="0" applyNumberFormat="1" applyFont="1" applyBorder="1" applyAlignment="1" applyProtection="1">
      <alignment horizontal="center" vertical="center"/>
      <protection locked="0"/>
    </xf>
  </cellXfs>
  <cellStyles count="6">
    <cellStyle name="เครื่องหมายจุลภาค 2" xfId="3" xr:uid="{00000000-0005-0000-0000-000001000000}"/>
    <cellStyle name="จุลภาค" xfId="1" builtinId="3"/>
    <cellStyle name="ปกติ" xfId="0" builtinId="0"/>
    <cellStyle name="ปกติ 2" xfId="4" xr:uid="{00000000-0005-0000-0000-000003000000}"/>
    <cellStyle name="ปกติ 2 2" xfId="5" xr:uid="{BDFC2F4E-4A50-4295-AF02-00603C48BD60}"/>
    <cellStyle name="ปกติ_Sheet1" xfId="2" xr:uid="{00000000-0005-0000-0000-000004000000}"/>
  </cellStyles>
  <dxfs count="38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FF0000"/>
        </top>
        <bottom style="double">
          <color rgb="FFFF0000"/>
        </bottom>
      </border>
    </dxf>
    <dxf>
      <border>
        <top style="double">
          <color rgb="FFFF0000"/>
        </top>
      </border>
    </dxf>
    <dxf>
      <border diagonalUp="0" diagonalDown="0">
        <left style="double">
          <color rgb="FFFF0000"/>
        </left>
        <right style="double">
          <color rgb="FFFF0000"/>
        </right>
        <top style="double">
          <color rgb="FFFF0000"/>
        </top>
        <bottom style="double">
          <color rgb="FFFF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  <alignment horizontal="center" vertical="center" textRotation="0" wrapText="0" indent="0" justifyLastLine="0" shrinkToFit="0" readingOrder="0"/>
    </dxf>
    <dxf>
      <border>
        <bottom style="double">
          <color rgb="FFFF0000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double">
          <color rgb="FFC00000"/>
        </left>
        <right/>
        <top style="double">
          <color rgb="FFC00000"/>
        </top>
        <bottom style="double">
          <color rgb="FFC00000"/>
        </bottom>
        <vertical style="double">
          <color rgb="FFC00000"/>
        </vertical>
        <horizontal style="double">
          <color rgb="FFC00000"/>
        </horizontal>
      </border>
    </dxf>
    <dxf>
      <border diagonalUp="0" diagonalDown="0">
        <left/>
        <right style="double">
          <color rgb="FFC00000"/>
        </right>
        <top style="double">
          <color rgb="FFC00000"/>
        </top>
        <bottom style="double">
          <color rgb="FFC00000"/>
        </bottom>
        <vertical style="double">
          <color rgb="FFC00000"/>
        </vertical>
        <horizontal style="double">
          <color rgb="FFC00000"/>
        </horizontal>
      </border>
    </dxf>
    <dxf>
      <border>
        <top style="double">
          <color rgb="FFC00000"/>
        </top>
      </border>
    </dxf>
    <dxf>
      <border diagonalUp="0" diagonalDown="0">
        <left style="double">
          <color rgb="FFC00000"/>
        </left>
        <right style="double">
          <color rgb="FFC00000"/>
        </right>
        <top style="double">
          <color rgb="FFC00000"/>
        </top>
        <bottom style="double">
          <color rgb="FFC00000"/>
        </bottom>
      </border>
    </dxf>
    <dxf>
      <border>
        <bottom style="double">
          <color rgb="FFC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rgb="FFC00000"/>
        </left>
        <right style="double">
          <color rgb="FFC00000"/>
        </right>
        <top/>
        <bottom/>
        <vertical style="double">
          <color rgb="FFC00000"/>
        </vertical>
        <horizontal style="double">
          <color rgb="FFC00000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UP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/>
        <top style="double">
          <color theme="9" tint="-0.499984740745262"/>
        </top>
        <bottom/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/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double">
          <color theme="9" tint="-0.499984740745262"/>
        </right>
        <top style="double">
          <color theme="9" tint="-0.499984740745262"/>
        </top>
        <bottom/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ont>
        <color rgb="FFFF0000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/>
        <top style="double">
          <color theme="9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double">
          <color theme="9" tint="-0.499984740745262"/>
        </right>
        <top style="double">
          <color theme="9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border>
        <top style="double">
          <color theme="9" tint="-0.499984740745262"/>
        </top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double">
          <color theme="9" tint="-0.499984740745262"/>
        </right>
        <top/>
        <bottom/>
      </border>
    </dxf>
    <dxf>
      <border diagonalUp="0" diagonalDown="0">
        <left style="double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double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2" defaultTableStyle="แบบตาราง 1" defaultPivotStyle="PivotStyleLight16">
    <tableStyle name="แบบตาราง 1" pivot="0" count="0" xr9:uid="{6DC33611-F86B-481A-B21E-F5F20AB07149}"/>
    <tableStyle name="แบบตาราง 2" pivot="0" count="0" xr9:uid="{AAA5FCF8-29CE-44BD-B4B3-D8A7156EFB24}"/>
  </tableStyles>
  <colors>
    <mruColors>
      <color rgb="FFFF0000"/>
      <color rgb="FFFFCCFF"/>
      <color rgb="FFCC00FF"/>
      <color rgb="FFFF6600"/>
      <color rgb="FF3399FF"/>
      <color rgb="FF009900"/>
      <color rgb="FF003399"/>
      <color rgb="FF0000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12;&#3607;-489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ผท-4890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F0BB0CC-E85C-4893-9FC0-59E91C00BD63}" name="Table2330313435363839404142434553" displayName="Table2330313435363839404142434553" ref="A4:K27" totalsRowShown="0" headerRowDxfId="379" dataDxfId="377" headerRowBorderDxfId="378" tableBorderDxfId="376" totalsRowBorderDxfId="375">
  <autoFilter ref="A4:K27" xr:uid="{BAAC6037-8823-415C-B8F3-0DA525A0FC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52338F3-BC93-4B6E-92A8-EABD73A147C0}" name="วันที่ขึ้นของ" dataDxfId="374"/>
    <tableColumn id="2" xr3:uid="{9A77B95C-31DC-4168-AB3F-DD3124150B2B}" name="ปลายทาง" dataDxfId="373"/>
    <tableColumn id="3" xr3:uid="{A7D6B041-95FA-426C-8937-2ECD8891C100}" name="เลขที่ใบกระจาย" dataDxfId="372"/>
    <tableColumn id="4" xr3:uid="{02B2897C-D8EF-4D14-ADDE-4476380DB021}" name="จำนวน/ชิ้น" dataDxfId="371"/>
    <tableColumn id="5" xr3:uid="{A499BE18-601D-49C8-B1C3-362AE9CD52D4}" name="ค่าขนส่ง" dataDxfId="370"/>
    <tableColumn id="6" xr3:uid="{8C452A6B-1697-4626-A88E-07700A29E93C}" name="ราคา" dataDxfId="369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B7764D6B-5462-457D-9119-B2CBA09B6D88}" name="เป็นเงิน" dataDxfId="368">
      <calculatedColumnFormula>IFERROR(IF(F5&gt;10,F5,F5*D5),"")</calculatedColumnFormula>
    </tableColumn>
    <tableColumn id="8" xr3:uid="{205D2CF0-7646-40CF-BCD3-4D31AC72625E}" name="พิเศษ" dataDxfId="367"/>
    <tableColumn id="9" xr3:uid="{E7CA2F70-95C7-44FC-B540-F06B04BC95FD}" name="ราคารวม" dataDxfId="366">
      <calculatedColumnFormula>IFERROR(SUM(G5+H5),"")</calculatedColumnFormula>
    </tableColumn>
    <tableColumn id="10" xr3:uid="{5B800F47-F20C-49B4-9405-3F4B50978204}" name="คงเหลือสุทธิ" dataDxfId="365">
      <calculatedColumnFormula>IFERROR(SUM(H5+I5),"")</calculatedColumnFormula>
    </tableColumn>
    <tableColumn id="11" xr3:uid="{58FF9830-06A0-4624-9530-D6440C18070C}" name="หมายเหตุ" dataDxfId="36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26D5D-2BA7-4AD7-9657-FBA1F301B751}" name="Table456782" displayName="Table456782" ref="A4:D13" totalsRowCount="1" headerRowDxfId="363" totalsRowDxfId="360" headerRowBorderDxfId="362" tableBorderDxfId="361" totalsRowBorderDxfId="359" headerRowCellStyle="ปกติ_Sheet1">
  <tableColumns count="4">
    <tableColumn id="1" xr3:uid="{D5C53A66-79C4-4D9A-BDCE-14424B7AA181}" name="ลำดับที่" totalsRowLabel="ผลรวม" dataDxfId="358" totalsRowDxfId="357" dataCellStyle="ปกติ 2 2"/>
    <tableColumn id="2" xr3:uid="{2B8F9801-4664-43A7-96E7-CC14025A4EDE}" name="ว.ด.ป." dataDxfId="356" totalsRowDxfId="355" dataCellStyle="ปกติ_Sheet1"/>
    <tableColumn id="3" xr3:uid="{58B1C450-1443-496F-9EE0-620F9B4DE09F}" name="ใบสั่งเติมน้ำมัน" dataDxfId="354" totalsRowDxfId="353" dataCellStyle="ปกติ_Sheet1"/>
    <tableColumn id="4" xr3:uid="{68DAE7B1-57FC-4B19-B155-0E9545EFD737}" name="เป็นจำนวนเงิน(บาท)" totalsRowFunction="sum" dataDxfId="352" totalsRowDxfId="351" dataCellStyle="จุลภาค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27C579B-C78E-4DAF-9513-93047B39287D}" name="Table233031343536383940414243455331" displayName="Table233031343536383940414243455331" ref="A4:K19" totalsRowShown="0" headerRowDxfId="350" dataDxfId="349" tableBorderDxfId="348">
  <autoFilter ref="A4:K19" xr:uid="{E0F11A5F-7055-4B2D-BFED-53CDC5AE31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C5B4F30-5D75-40AE-91CD-A0C89D804A21}" name="วันที่ขึ้นของ" dataDxfId="347"/>
    <tableColumn id="2" xr3:uid="{C6D63BCD-5E59-4994-B4BA-1AF22271CE2C}" name="ปลายทาง" dataDxfId="346"/>
    <tableColumn id="3" xr3:uid="{75865D58-F85E-47FF-A504-C7BFF96B317C}" name="เลขที่ใบกระจาย" dataDxfId="345"/>
    <tableColumn id="4" xr3:uid="{3C7BDD05-C6A4-4958-A4CE-AB20F76B79B8}" name="จำนวน/ชิ้น" dataDxfId="344"/>
    <tableColumn id="5" xr3:uid="{48AE03F7-1D5E-4F87-BADA-E198894A4E4C}" name="ค่าขนส่ง" dataDxfId="343"/>
    <tableColumn id="6" xr3:uid="{16104DD0-88AB-43B1-8D24-9216B4947DBC}" name="ราคา" dataDxfId="342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33166EB5-397E-4D89-B11C-2D1F72933308}" name="เป็นเงิน" dataDxfId="341">
      <calculatedColumnFormula>IFERROR(IF(F5&gt;10,F5,F5*D5),"")</calculatedColumnFormula>
    </tableColumn>
    <tableColumn id="8" xr3:uid="{45529367-CBF5-4E4C-9C08-F01ABC9BAD60}" name="พิเศษ" dataDxfId="340"/>
    <tableColumn id="9" xr3:uid="{BE3C7D7D-EA74-41E6-A2EF-4C1EEB5DD316}" name="ราคารวม" dataDxfId="339">
      <calculatedColumnFormula>IFERROR(SUM(G5+H5),"")</calculatedColumnFormula>
    </tableColumn>
    <tableColumn id="10" xr3:uid="{082930B1-63D5-4EDE-B53B-AFC76EAD33F9}" name="คงเหลือสุทธิ" dataDxfId="338">
      <calculatedColumnFormula>IFERROR(SUM(H5+I5),"")</calculatedColumnFormula>
    </tableColumn>
    <tableColumn id="11" xr3:uid="{85037819-1D73-43F6-85D7-FAB42B65742F}" name="หมายเหตุ" dataDxfId="337" dataCellStyle="ปกติ_Sheet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2AA8AC-D4DB-41FE-B030-F73AE6A0624E}" name="Table45678" displayName="Table45678" ref="A4:D15" totalsRowCount="1" headerRowDxfId="336" totalsRowDxfId="333" headerRowBorderDxfId="335" tableBorderDxfId="334" totalsRowBorderDxfId="332" headerRowCellStyle="ปกติ_Sheet1">
  <tableColumns count="4">
    <tableColumn id="1" xr3:uid="{C0B95EE2-8709-47C6-A371-B9972B6993C2}" name="ลำดับที่" totalsRowLabel="ผลรวม" dataDxfId="331" totalsRowDxfId="330" dataCellStyle="ปกติ 2 2"/>
    <tableColumn id="2" xr3:uid="{D50CFA3F-9A29-4FBE-8841-E9ABA843116C}" name="ว.ด.ป." dataDxfId="329" totalsRowDxfId="328" dataCellStyle="ปกติ_Sheet1"/>
    <tableColumn id="3" xr3:uid="{E3C403DA-99CB-4F6F-A8B7-0376DE68A639}" name="ใบสั่งเติมน้ำมัน" dataDxfId="327" totalsRowDxfId="326" dataCellStyle="ปกติ_Sheet1"/>
    <tableColumn id="4" xr3:uid="{D09137C1-9483-41D2-9568-D219690517CD}" name="เป็นจำนวนเงิน(บาท)" totalsRowFunction="sum" dataDxfId="325" totalsRowDxfId="324" dataCellStyle="จุลภาค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B3ABB7A-6AF7-4421-B93D-36777510E8BF}" name="Table233031343536383940414243455335" displayName="Table233031343536383940414243455335" ref="A4:K16" totalsRowShown="0" headerRowDxfId="13" dataDxfId="12" tableBorderDxfId="11">
  <autoFilter ref="A4:K16" xr:uid="{81B56080-1DE8-4209-A867-062ED732FD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847C7AF-94D2-43AA-93B7-8021DE6C089D}" name="วันที่ขึ้นของ" dataDxfId="10"/>
    <tableColumn id="2" xr3:uid="{ADC18F12-34F2-4F5C-850E-CCB73DA31130}" name="ปลายทาง" dataDxfId="9"/>
    <tableColumn id="3" xr3:uid="{B5445598-E693-457E-A53F-7DE34D8156E2}" name="เลขที่ใบกระจาย" dataDxfId="8"/>
    <tableColumn id="4" xr3:uid="{BF8728B1-07F9-4D0C-A19C-90464B6646D6}" name="จำนวน/ชิ้น" dataDxfId="7"/>
    <tableColumn id="5" xr3:uid="{00FE560D-C193-4A67-98E2-5DA04CC1112A}" name="ค่าขนส่ง" dataDxfId="6"/>
    <tableColumn id="6" xr3:uid="{870CE506-3E11-44B2-A327-1173E1EC8891}" name="ราคา" dataDxfId="5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80503328-ADCE-4CF4-BF24-3CC0EEF2B8DE}" name="เป็นเงิน" dataDxfId="4">
      <calculatedColumnFormula>IFERROR(IF(F5&gt;10,F5,F5*D5),"")</calculatedColumnFormula>
    </tableColumn>
    <tableColumn id="8" xr3:uid="{D56851AA-8390-4A40-A4CB-75310A4B9669}" name="พิเศษ" dataDxfId="3"/>
    <tableColumn id="9" xr3:uid="{99E138F7-B7FA-44A1-8194-A7650C587204}" name="ราคารวม" dataDxfId="2">
      <calculatedColumnFormula>IFERROR(SUM(G5+H5),"")</calculatedColumnFormula>
    </tableColumn>
    <tableColumn id="10" xr3:uid="{8159812F-14DF-4ABB-9C0B-A6D671F3934C}" name="คงเหลือสุทธิ" dataDxfId="1">
      <calculatedColumnFormula>IFERROR(SUM(H5+I5),"")</calculatedColumnFormula>
    </tableColumn>
    <tableColumn id="11" xr3:uid="{7337A0B7-2C2D-417C-845C-21F2A075BE7E}" name="หมายเหตุ" dataDxfId="0" dataCellStyle="ปกติ_Sheet1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31CF2B-57EE-44B7-A3FB-1474B32E7991}" name="Table45678910" displayName="Table45678910" ref="A4:D14" totalsRowCount="1" headerRowDxfId="323" totalsRowDxfId="320" headerRowBorderDxfId="322" tableBorderDxfId="321" totalsRowBorderDxfId="319" headerRowCellStyle="ปกติ_Sheet1">
  <tableColumns count="4">
    <tableColumn id="1" xr3:uid="{1A6E0824-0834-4D62-B40F-52E09DD8B052}" name="ลำดับที่" totalsRowLabel="ผลรวม" dataDxfId="318" totalsRowDxfId="317" dataCellStyle="ปกติ 2 2"/>
    <tableColumn id="2" xr3:uid="{77219775-C03E-4F1E-BF73-EB0395F0BEF0}" name="ว.ด.ป." dataDxfId="316" totalsRowDxfId="315" dataCellStyle="ปกติ_Sheet1"/>
    <tableColumn id="3" xr3:uid="{3E8751FB-E1AE-4A39-B19F-14FE16F981A0}" name="ใบสั่งเติมน้ำมัน" dataDxfId="314" totalsRowDxfId="313" dataCellStyle="ปกติ_Sheet1"/>
    <tableColumn id="4" xr3:uid="{574868F2-5158-4855-B1F1-6BC7EB1C5CA7}" name="เป็นจำนวนเงิน(บาท)" totalsRowFunction="sum" dataDxfId="312" totalsRowDxfId="311" dataCellStyle="จุลภาค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40344DC-233E-4FA6-B876-94E90270F1F5}" name="Table233031343536383940414243455343" displayName="Table233031343536383940414243455343" ref="A4:K21" totalsRowShown="0" headerRowDxfId="310" dataDxfId="309" tableBorderDxfId="308">
  <autoFilter ref="A4:K21" xr:uid="{E2CB6805-BFF3-4331-ADE5-705D6E4AD4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B7BA493-3AE9-4E28-8A88-8D9941102A62}" name="วันที่ขึ้นของ" dataDxfId="307"/>
    <tableColumn id="2" xr3:uid="{0569CEF1-22D7-4751-A5F4-37F616E449F1}" name="ปลายทาง" dataDxfId="306"/>
    <tableColumn id="3" xr3:uid="{0C50C306-4D03-4026-A4DE-6D113A5D430A}" name="เลขที่ใบกระจาย" dataDxfId="305"/>
    <tableColumn id="4" xr3:uid="{ABDA4B85-E58C-4535-A402-F829239DFED8}" name="จำนวน/ชิ้น" dataDxfId="304"/>
    <tableColumn id="5" xr3:uid="{F784533F-DB9F-40C3-96B0-8A568C4A5BA5}" name="ค่าขนส่ง" dataDxfId="303"/>
    <tableColumn id="6" xr3:uid="{52970EE1-988A-4D29-8590-28E2916B7419}" name="ราคา" dataDxfId="302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FFE78A7B-75CA-4D1E-BA71-870E2B03D954}" name="เป็นเงิน" dataDxfId="301">
      <calculatedColumnFormula>IFERROR(IF(F5&gt;10,F5,F5*D5),"")</calculatedColumnFormula>
    </tableColumn>
    <tableColumn id="8" xr3:uid="{BBDD5A56-D33C-46D8-958C-1214A5C3D643}" name="พิเศษ" dataDxfId="300"/>
    <tableColumn id="9" xr3:uid="{FDE598A6-29C6-4F59-9DA5-627AA4AFE8FB}" name="ราคารวม" dataDxfId="299">
      <calculatedColumnFormula>IFERROR(SUM(G5+H5),"")</calculatedColumnFormula>
    </tableColumn>
    <tableColumn id="10" xr3:uid="{041384D0-E7C1-45B6-8F63-76FF0F927F1F}" name="คงเหลือสุทธิ" dataDxfId="298">
      <calculatedColumnFormula>IFERROR(SUM(H5+I5),"")</calculatedColumnFormula>
    </tableColumn>
    <tableColumn id="11" xr3:uid="{C3A4686D-1D57-44D5-B7CC-29DF9F2342D1}" name="หมายเหตุ" dataDxfId="297" dataCellStyle="ปกติ_Sheet1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DFBF2E-1793-488F-9914-3F0464C9E805}" name="Table45678910111213" displayName="Table45678910111213" ref="A4:D14" totalsRowCount="1" headerRowDxfId="296" totalsRowDxfId="293" headerRowBorderDxfId="295" tableBorderDxfId="294" totalsRowBorderDxfId="292" headerRowCellStyle="ปกติ_Sheet1">
  <tableColumns count="4">
    <tableColumn id="1" xr3:uid="{C5707FB4-4B1E-4FD7-B82A-8C779FA4118E}" name="ลำดับที่" totalsRowLabel="ผลรวม" dataDxfId="291" totalsRowDxfId="290" dataCellStyle="ปกติ 2 2"/>
    <tableColumn id="2" xr3:uid="{2C1B45D7-C990-4C90-9F11-3C1082F7F9F4}" name="ว.ด.ป." dataDxfId="289" totalsRowDxfId="288" dataCellStyle="ปกติ_Sheet1"/>
    <tableColumn id="3" xr3:uid="{EF8B91E6-29C2-44AA-874F-65E02D0B3564}" name="ใบสั่งเติมน้ำมัน" dataDxfId="287" totalsRowDxfId="286" dataCellStyle="ปกติ_Sheet1"/>
    <tableColumn id="4" xr3:uid="{F4643A9A-B3F9-4517-A2A4-9A97EBCB0060}" name="เป็นจำนวนเงิน(บาท)" totalsRowFunction="sum" dataDxfId="285" totalsRowDxfId="284" dataCellStyle="จุลภาค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6115230-175D-4A84-BD82-0CAA3F3CEC0C}" name="Table233031343536383940414243455342" displayName="Table233031343536383940414243455342" ref="A4:K23" totalsRowShown="0" headerRowDxfId="283" dataDxfId="282" tableBorderDxfId="281">
  <autoFilter ref="A4:K23" xr:uid="{BFBA355D-9F04-4687-A055-2F35BD6017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CE33C57-20CB-47A0-8F53-1BBA691ABCC7}" name="วันที่ขึ้นของ" dataDxfId="280"/>
    <tableColumn id="2" xr3:uid="{8A3D8E8C-597C-4260-8969-78CC94BF7E22}" name="ปลายทาง" dataDxfId="279"/>
    <tableColumn id="3" xr3:uid="{1CABB233-A6F2-42F8-B4A3-A7604E77AA40}" name="เลขที่ใบกระจาย" dataDxfId="278"/>
    <tableColumn id="4" xr3:uid="{861CF54C-7574-4A19-8E4E-333E3CC6AC3C}" name="จำนวน/ชิ้น" dataDxfId="277"/>
    <tableColumn id="5" xr3:uid="{BDD6D8A1-2A32-4374-B130-E0D5211D6E4F}" name="ค่าขนส่ง" dataDxfId="276"/>
    <tableColumn id="6" xr3:uid="{371858D3-8FF1-4968-958C-10E88096F200}" name="ราคา" dataDxfId="275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DFBFA378-780A-4918-A828-28217FCC5C5E}" name="เป็นเงิน" dataDxfId="274">
      <calculatedColumnFormula>IFERROR(IF(F5&gt;10,F5,F5*D5),"")</calculatedColumnFormula>
    </tableColumn>
    <tableColumn id="8" xr3:uid="{04028B8F-E36F-4A81-BDEC-FCD385F05481}" name="พิเศษ" dataDxfId="273"/>
    <tableColumn id="9" xr3:uid="{F86A7066-4E2B-48BF-A333-ACBBBBF80E44}" name="ราคารวม" dataDxfId="272">
      <calculatedColumnFormula>IFERROR(SUM(G5+H5),"")</calculatedColumnFormula>
    </tableColumn>
    <tableColumn id="10" xr3:uid="{F4498CF7-58E2-4F1B-945F-DC3511E4E74A}" name="คงเหลือสุทธิ" dataDxfId="271">
      <calculatedColumnFormula>IFERROR(SUM(H5+I5),"")</calculatedColumnFormula>
    </tableColumn>
    <tableColumn id="11" xr3:uid="{8938088A-22FA-4B08-87F7-DFF9DBEF4F31}" name="หมายเหตุ" dataDxfId="270" dataCellStyle="ปกติ_Sheet1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243DB8-CCF0-4B47-A1E4-DE8510BCD394}" name="Table4567891011121314" displayName="Table4567891011121314" ref="A4:D17" totalsRowCount="1" headerRowDxfId="269" totalsRowDxfId="266" headerRowBorderDxfId="268" tableBorderDxfId="267" totalsRowBorderDxfId="265" headerRowCellStyle="ปกติ_Sheet1">
  <tableColumns count="4">
    <tableColumn id="1" xr3:uid="{52889465-0BF3-484A-8F05-79A50D8D0265}" name="ลำดับที่" totalsRowLabel="ผลรวม" dataDxfId="264" totalsRowDxfId="263" dataCellStyle="ปกติ 2 2"/>
    <tableColumn id="2" xr3:uid="{49201905-49E7-407F-AD87-3F3F4944DC63}" name="ว.ด.ป." dataDxfId="262" totalsRowDxfId="261" dataCellStyle="ปกติ_Sheet1"/>
    <tableColumn id="3" xr3:uid="{F1758417-DE33-45F0-B221-CAA6F8E505EE}" name="ใบสั่งเติมน้ำมัน" dataDxfId="260" totalsRowDxfId="259" dataCellStyle="ปกติ_Sheet1"/>
    <tableColumn id="4" xr3:uid="{B92DD844-C7C4-457B-8B88-A3422D48C4EE}" name="เป็นจำนวนเงิน(บาท)" totalsRowFunction="sum" dataDxfId="258" totalsRowDxfId="257" dataCellStyle="จุลภาค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7D7D9F59-5D9F-4593-87F6-6F1DF663B59C}" name="Table233031343536383940414243455352" displayName="Table233031343536383940414243455352" ref="A4:K8" totalsRowShown="0" headerRowDxfId="256" dataDxfId="255" tableBorderDxfId="254">
  <autoFilter ref="A4:K8" xr:uid="{1AFBE3D0-0247-4993-B6E0-E7618B6CD1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220B958-1EF9-483B-BF54-86CF4A5E0795}" name="วันที่ขึ้นของ" dataDxfId="253"/>
    <tableColumn id="2" xr3:uid="{0ABDC049-58BE-4E42-BF14-DB233297F9EE}" name="ปลายทาง" dataDxfId="252"/>
    <tableColumn id="3" xr3:uid="{A6BF3612-4DA5-4E29-B45A-785E73C3DE9E}" name="เลขที่ใบกระจาย" dataDxfId="251"/>
    <tableColumn id="4" xr3:uid="{A54B750C-1A04-497C-9075-DC6E1A94381E}" name="จำนวน/ชิ้น" dataDxfId="250"/>
    <tableColumn id="5" xr3:uid="{9A68B942-719B-4005-8FA8-4E2044FC223B}" name="ค่าขนส่ง" dataDxfId="249"/>
    <tableColumn id="6" xr3:uid="{790F570C-151B-4EEB-AE22-6E886A599892}" name="ราคา" dataDxfId="248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1CD7F563-A4FC-48CF-9DD2-FBA0B4A5D3A4}" name="เป็นเงิน" dataDxfId="247">
      <calculatedColumnFormula>IFERROR(IF(F5&gt;10,F5,F5*D5),"")</calculatedColumnFormula>
    </tableColumn>
    <tableColumn id="8" xr3:uid="{1E5B1EA1-AA01-4186-90C6-6F0AE390B127}" name="พิเศษ" dataDxfId="246"/>
    <tableColumn id="9" xr3:uid="{5AA6DF4E-0C9B-4935-BE3E-C0123FB110E3}" name="ราคารวม" dataDxfId="245">
      <calculatedColumnFormula>IFERROR(SUM(G5+H5),"")</calculatedColumnFormula>
    </tableColumn>
    <tableColumn id="10" xr3:uid="{724A94C0-C7C2-4AA0-9BD8-79F0D04D0638}" name="คงเหลือสุทธิ" dataDxfId="244">
      <calculatedColumnFormula>IFERROR(SUM(H5+I5),"")</calculatedColumnFormula>
    </tableColumn>
    <tableColumn id="11" xr3:uid="{A0010E4F-EF21-4008-825B-AD059A58F9E2}" name="หมายเหตุ" dataDxfId="243" dataCellStyle="ปกติ_Sheet1"/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FAED33A-535F-4779-838F-5BCED7ACD543}" name="Table45678910111213141517181920212228" displayName="Table45678910111213141517181920212228" ref="A4:D6" totalsRowCount="1" headerRowDxfId="242" totalsRowDxfId="239" headerRowBorderDxfId="241" tableBorderDxfId="240" totalsRowBorderDxfId="238" headerRowCellStyle="ปกติ_Sheet1">
  <tableColumns count="4">
    <tableColumn id="1" xr3:uid="{C421E775-DD33-4F43-9DC5-9C580EC98A29}" name="ลำดับที่" totalsRowLabel="ผลรวม" dataDxfId="237" totalsRowDxfId="236" dataCellStyle="ปกติ 2 2"/>
    <tableColumn id="2" xr3:uid="{4597ACDE-3E98-4B96-8916-F5D4B057EF8B}" name="ว.ด.ป." dataDxfId="235" totalsRowDxfId="234" dataCellStyle="ปกติ_Sheet1"/>
    <tableColumn id="3" xr3:uid="{3D7CA8DF-1A5F-419B-9B26-92BFA7B7681F}" name="ใบสั่งเติมน้ำมัน" dataDxfId="233" totalsRowDxfId="232" dataCellStyle="ปกติ_Sheet1"/>
    <tableColumn id="4" xr3:uid="{7A5A1CE3-02B8-42CA-96FD-8CCE5E4F05E0}" name="เป็นจำนวนเงิน(บาท)" totalsRowFunction="sum" dataDxfId="231" totalsRowDxfId="230" dataCellStyle="จุลภาค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0DCD82C-D93C-4E5B-91EB-D6A474C8C71E}" name="Table233031343536383940414243455356" displayName="Table233031343536383940414243455356" ref="A4:K18" totalsRowShown="0" headerRowDxfId="229" dataDxfId="228" tableBorderDxfId="227">
  <autoFilter ref="A4:K18" xr:uid="{D7D45164-846A-4BFB-B5AA-99110E82D7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5D4264C-2558-49C3-A7FF-E9BBF3E0A787}" name="วันที่ขึ้นของ" dataDxfId="226"/>
    <tableColumn id="2" xr3:uid="{21CD0B4B-7684-4082-B0F8-C6A6DE0FB2D4}" name="ปลายทาง" dataDxfId="225"/>
    <tableColumn id="3" xr3:uid="{BC2E9172-39C8-4DE4-927F-C806E5551498}" name="เลขที่ใบกระจาย" dataDxfId="224"/>
    <tableColumn id="4" xr3:uid="{19FBAA0E-05C1-4860-9C78-6D50F6C88C7B}" name="จำนวน/ชิ้น" dataDxfId="223"/>
    <tableColumn id="5" xr3:uid="{D71F9FA9-6DB0-40D6-BE73-791CCD9D1D35}" name="ค่าขนส่ง" dataDxfId="222"/>
    <tableColumn id="6" xr3:uid="{78EC82E2-E8B8-4EEC-98A5-1B20741C77F4}" name="ราคา" dataDxfId="221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6C717D6D-BC59-4798-A700-875B48EBB263}" name="เป็นเงิน" dataDxfId="220">
      <calculatedColumnFormula>IFERROR(IF(F5&gt;10,F5,F5*D5),"")</calculatedColumnFormula>
    </tableColumn>
    <tableColumn id="8" xr3:uid="{14EF30DE-0A1E-41B5-9633-BA6B70966AC1}" name="พิเศษ" dataDxfId="219"/>
    <tableColumn id="9" xr3:uid="{E04027BB-34A5-42F6-86C0-7A8F40C1BEEF}" name="ราคารวม" dataDxfId="218">
      <calculatedColumnFormula>IFERROR(SUM(G5+H5),"")</calculatedColumnFormula>
    </tableColumn>
    <tableColumn id="10" xr3:uid="{1EE987AC-4965-40BF-9579-5AA6A6436010}" name="คงเหลือสุทธิ" dataDxfId="217">
      <calculatedColumnFormula>IFERROR(SUM(H5+I5),"")</calculatedColumnFormula>
    </tableColumn>
    <tableColumn id="11" xr3:uid="{714C4562-4415-4F66-AD74-6B3B046142FF}" name="หมายเหตุ" dataDxfId="216"/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76FF8C4-04B3-4336-9BDB-E007A8A2E6AB}" name="Table45678910111213141517181920212228323337" displayName="Table45678910111213141517181920212228323337" ref="A4:D14" totalsRowCount="1" headerRowDxfId="215" totalsRowDxfId="212" headerRowBorderDxfId="214" tableBorderDxfId="213" totalsRowBorderDxfId="211" headerRowCellStyle="ปกติ_Sheet1">
  <tableColumns count="4">
    <tableColumn id="1" xr3:uid="{D163AE58-7BA9-4D41-A136-6CAC351F8D53}" name="ลำดับที่" totalsRowLabel="ผลรวม" dataDxfId="210" totalsRowDxfId="209" dataCellStyle="ปกติ 2 2"/>
    <tableColumn id="2" xr3:uid="{84A672BE-6105-4A3C-AE35-3ADAA213C42E}" name="ว.ด.ป." dataDxfId="208" totalsRowDxfId="207" dataCellStyle="ปกติ_Sheet1"/>
    <tableColumn id="3" xr3:uid="{EF87CC8E-FBBC-4277-B6A5-74BB709B766E}" name="ใบสั่งเติมน้ำมัน" dataDxfId="206" totalsRowDxfId="205" dataCellStyle="ปกติ_Sheet1"/>
    <tableColumn id="4" xr3:uid="{A701DB43-E1FD-41FE-914B-344F3FACF679}" name="เป็นจำนวนเงิน(บาท)" totalsRowFunction="sum" dataDxfId="204" totalsRowDxfId="203" dataCellStyle="จุลภาค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2D3899B-FD5C-4193-B788-4CF4ACCC185E}" name="Table233031343536383940414243455351" displayName="Table233031343536383940414243455351" ref="A4:K11" totalsRowShown="0" headerRowDxfId="202" dataDxfId="201" tableBorderDxfId="200">
  <autoFilter ref="A4:K11" xr:uid="{A6C9F401-1CC4-4AE0-84CE-06C86BD0FA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D466711-8D38-42BC-ADD7-6B126217DF8F}" name="วันที่ขึ้นของ" dataDxfId="199"/>
    <tableColumn id="2" xr3:uid="{224E29D0-22CE-44E7-8FE3-F79F02DCDD45}" name="ปลายทาง" dataDxfId="198"/>
    <tableColumn id="3" xr3:uid="{F18144DE-C4C0-4384-9399-604ADDE7EA69}" name="เลขที่ใบกระจาย" dataDxfId="197"/>
    <tableColumn id="4" xr3:uid="{47198A5A-B3EA-4013-8E8B-47BCBF941255}" name="จำนวน/ชิ้น" dataDxfId="196"/>
    <tableColumn id="5" xr3:uid="{508213CF-9D5F-496D-812E-3A522E369530}" name="ค่าขนส่ง" dataDxfId="195"/>
    <tableColumn id="6" xr3:uid="{7EEF2A87-FE93-4F2E-BF6C-5E75A9E1498A}" name="ราคา" dataDxfId="194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D7F62EA6-D370-4077-9922-C795370EC089}" name="เป็นเงิน" dataDxfId="193">
      <calculatedColumnFormula>IFERROR(IF(F5&gt;10,F5,F5*D5),"")</calculatedColumnFormula>
    </tableColumn>
    <tableColumn id="8" xr3:uid="{8C618951-8D78-43AA-8C86-FCF25AB83F2F}" name="พิเศษ" dataDxfId="192">
      <calculatedColumnFormula>IFERROR(IF(G5&gt;10,G5,G5*E5),"")</calculatedColumnFormula>
    </tableColumn>
    <tableColumn id="9" xr3:uid="{C7D88992-CAE3-45FF-8C2F-E8309E6E9F97}" name="ราคารวม" dataDxfId="191">
      <calculatedColumnFormula>IFERROR(SUM(G5+H5),"")</calculatedColumnFormula>
    </tableColumn>
    <tableColumn id="10" xr3:uid="{E0979763-8F50-46AF-80E5-991829424656}" name="คงเหลือสุทธิ" dataDxfId="190">
      <calculatedColumnFormula>IFERROR(SUM(H5+I5),"")</calculatedColumnFormula>
    </tableColumn>
    <tableColumn id="11" xr3:uid="{CFD8B1B4-D489-4119-A9D8-A64BCB403175}" name="หมายเหตุ" dataDxfId="189">
      <calculatedColumnFormula>IFERROR(SUM(I5+J5),"")</calculatedColumnFormula>
    </tableColumn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CB3190A-977B-4A6F-BEE1-90F8616D1760}" name="Table456789101112131415171819202122" displayName="Table456789101112131415171819202122" ref="A4:D10" totalsRowCount="1" headerRowDxfId="188" dataDxfId="186" totalsRowDxfId="184" headerRowBorderDxfId="187" tableBorderDxfId="185" totalsRowBorderDxfId="183" headerRowCellStyle="ปกติ_Sheet1">
  <tableColumns count="4">
    <tableColumn id="1" xr3:uid="{661BC2FC-D104-48D4-A7EC-3581D6940EDF}" name="ลำดับที่" totalsRowLabel="ผลรวม" dataDxfId="182" totalsRowDxfId="181" dataCellStyle="ปกติ 2 2"/>
    <tableColumn id="2" xr3:uid="{9989AA91-1C97-4A2B-848D-983074208CED}" name="ว.ด.ป." dataDxfId="180" totalsRowDxfId="179" dataCellStyle="ปกติ_Sheet1"/>
    <tableColumn id="3" xr3:uid="{FB6F7B9D-96FD-4F98-B640-37AEFE009E60}" name="ใบสั่งเติมน้ำมัน" dataDxfId="178" totalsRowDxfId="177" dataCellStyle="ปกติ_Sheet1"/>
    <tableColumn id="4" xr3:uid="{8C5AFF01-0874-4FB7-A4D2-3ED1DA98885C}" name="เป็นจำนวนเงิน(บาท)" totalsRowFunction="sum" dataDxfId="176" totalsRowDxfId="175" dataCellStyle="จุลภาค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9172697-15F6-49CC-BBDE-DD6D6302DD7C}" name="Table233031343536383940414243455336" displayName="Table233031343536383940414243455336" ref="A4:K22" totalsRowShown="0" headerRowDxfId="174" dataDxfId="173" tableBorderDxfId="172">
  <autoFilter ref="A4:K22" xr:uid="{A0480CCE-1FA2-4A71-878B-DB42BDA83C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4F41C49-9C57-4E99-9353-F0C2E3DA4612}" name="วันที่ขึ้นของ" dataDxfId="171"/>
    <tableColumn id="2" xr3:uid="{0A7F175B-F481-4B43-B83C-3A30017A7449}" name="ปลายทาง" dataDxfId="170"/>
    <tableColumn id="3" xr3:uid="{B725F8B1-2D93-45CB-A6A7-544C94B1FEF9}" name="เลขที่ใบกระจาย" dataDxfId="169"/>
    <tableColumn id="4" xr3:uid="{343D1FB5-BAD1-4A03-8E47-40BF60306517}" name="จำนวน/ชิ้น" dataDxfId="168"/>
    <tableColumn id="5" xr3:uid="{4B8A17D1-F081-4EA1-887B-3F2D569F2909}" name="ค่าขนส่ง" dataDxfId="167"/>
    <tableColumn id="6" xr3:uid="{C048EFD3-7A51-4304-8300-E78411B0700D}" name="ราคา" dataDxfId="166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C49A6FD3-9B10-4EC4-86A1-7C488DEEFE59}" name="เป็นเงิน" dataDxfId="165">
      <calculatedColumnFormula>IFERROR(IF(F5&gt;10,F5,F5*D5),"")</calculatedColumnFormula>
    </tableColumn>
    <tableColumn id="8" xr3:uid="{04494B5D-7F44-4CA3-B680-0FB414E6E2EF}" name="พิเศษ" dataDxfId="164"/>
    <tableColumn id="9" xr3:uid="{8FBAD5E0-F993-466D-A0A2-B6EA160B9BE6}" name="ราคารวม" dataDxfId="163">
      <calculatedColumnFormula>IFERROR(SUM(G5+H5),"")</calculatedColumnFormula>
    </tableColumn>
    <tableColumn id="10" xr3:uid="{8B7B4ABB-5F27-45AB-995E-8CF425A31D8B}" name="คงเหลือสุทธิ" dataDxfId="162">
      <calculatedColumnFormula>IFERROR(SUM(H5+I5),"")</calculatedColumnFormula>
    </tableColumn>
    <tableColumn id="11" xr3:uid="{DE088066-6196-4F6A-A1E5-1168F9B344DC}" name="หมายเหตุ" dataDxfId="161" dataCellStyle="ปกติ_Sheet1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D581EC-23F9-4CB2-B439-D5D2E5B4437F}" name="Table4567891011" displayName="Table4567891011" ref="A4:D13" totalsRowCount="1" headerRowDxfId="160" headerRowBorderDxfId="159" tableBorderDxfId="158" totalsRowBorderDxfId="157" headerRowCellStyle="ปกติ_Sheet1">
  <tableColumns count="4">
    <tableColumn id="1" xr3:uid="{AAA3D3A0-E907-46E1-A64A-176197A2C7D3}" name="ลำดับที่" totalsRowLabel="ผลรวม" dataDxfId="156" totalsRowDxfId="155" dataCellStyle="ปกติ 2 2"/>
    <tableColumn id="2" xr3:uid="{5FEC8534-AC0D-444A-A051-FD134586E7F6}" name="ว.ด.ป." dataDxfId="154" totalsRowDxfId="153" dataCellStyle="ปกติ_Sheet1"/>
    <tableColumn id="3" xr3:uid="{AA1FE54F-0E65-4791-A04E-516E0F1F83D7}" name="ใบสั่งเติมน้ำมัน" dataDxfId="152" totalsRowDxfId="151" dataCellStyle="ปกติ_Sheet1"/>
    <tableColumn id="4" xr3:uid="{33838E01-A420-4009-A82B-56B753924747}" name="เป็นจำนวนเงิน(บาท)" totalsRowFunction="sum" dataDxfId="150" totalsRowDxfId="149" dataCellStyle="จุลภาค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DBCE55CD-52BB-4C13-87AF-B7826EA4451A}" name="Table233031343536383940414243455344" displayName="Table233031343536383940414243455344" ref="A4:K18" totalsRowShown="0" headerRowDxfId="148" dataDxfId="147" tableBorderDxfId="146">
  <autoFilter ref="A4:K18" xr:uid="{1AF20323-D448-41DF-9C7D-E747A88050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F10C538-51DA-490D-8DC7-461BB711CEBF}" name="วันที่ขึ้นของ" dataDxfId="145"/>
    <tableColumn id="2" xr3:uid="{05FC5787-DD36-4544-8DBB-8DD4E25C4FBC}" name="ปลายทาง" dataDxfId="144"/>
    <tableColumn id="3" xr3:uid="{77F815CA-586A-40BE-B9AA-DA2F0630F15A}" name="เลขที่ใบกระจาย" dataDxfId="143"/>
    <tableColumn id="4" xr3:uid="{48F3E529-8074-4A1A-9E5A-3B9D32304541}" name="จำนวน/ชิ้น" dataDxfId="142"/>
    <tableColumn id="5" xr3:uid="{CD5DFCFD-2DF7-44DB-B4EB-FD4584D758B3}" name="ค่าขนส่ง" dataDxfId="141"/>
    <tableColumn id="6" xr3:uid="{206A300E-6A46-440C-955F-DF0FB5A7C57E}" name="ราคา" dataDxfId="140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6477032A-DC1B-4C07-85FB-C174BC5F9A36}" name="เป็นเงิน" dataDxfId="139">
      <calculatedColumnFormula>IFERROR(IF(F5&gt;10,F5,F5*D5),"")</calculatedColumnFormula>
    </tableColumn>
    <tableColumn id="8" xr3:uid="{D52B575E-18A1-4EFE-8A7F-A4D0774063CB}" name="พิเศษ" dataDxfId="138"/>
    <tableColumn id="9" xr3:uid="{F496DDA4-1ACE-44D1-BDC3-B4928AD93758}" name="ราคารวม" dataDxfId="137">
      <calculatedColumnFormula>IFERROR(SUM(G5+H5),"")</calculatedColumnFormula>
    </tableColumn>
    <tableColumn id="10" xr3:uid="{C617981D-3D9E-4AFD-BF86-1A3A6305EDE0}" name="คงเหลือสุทธิ" dataDxfId="136">
      <calculatedColumnFormula>IFERROR(SUM(H5+I5),"")</calculatedColumnFormula>
    </tableColumn>
    <tableColumn id="11" xr3:uid="{9C4CB741-81BD-4A4F-A3F8-80A6FF100570}" name="หมายเหตุ" dataDxfId="135" dataCellStyle="ปกติ_Sheet1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B4C8EBC-9446-4B9E-A307-A91E7ED83D85}" name="Table456789101112131415" displayName="Table456789101112131415" ref="A4:D13" totalsRowCount="1" headerRowDxfId="134" headerRowBorderDxfId="133" tableBorderDxfId="132" totalsRowBorderDxfId="131" headerRowCellStyle="ปกติ_Sheet1">
  <tableColumns count="4">
    <tableColumn id="1" xr3:uid="{0BEC4D5F-9E5F-4ADF-B0DB-781D43302BA7}" name="ลำดับที่" dataDxfId="130" totalsRowDxfId="129" dataCellStyle="ปกติ 2 2"/>
    <tableColumn id="2" xr3:uid="{6EC40517-0F18-4501-90CC-A0E05DC67B52}" name="ว.ด.ป." dataDxfId="128" totalsRowDxfId="127" dataCellStyle="ปกติ_Sheet1"/>
    <tableColumn id="3" xr3:uid="{EAD7CA88-F171-457E-B3AB-EBF512C8124A}" name="ใบสั่งเติมน้ำมัน" dataDxfId="126" totalsRowDxfId="125" dataCellStyle="ปกติ_Sheet1"/>
    <tableColumn id="4" xr3:uid="{F66EA5DF-FB6C-4FBF-AD93-29A7193D1FDF}" name="เป็นจำนวนเงิน(บาท)" totalsRowFunction="custom" dataDxfId="124" totalsRowDxfId="123" dataCellStyle="จุลภาค">
      <totalsRowFormula>SUM(D5:D12)</totalsRowFormula>
    </tableColumn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103FF3F-5806-408E-AA61-50C6F308D0FD}" name="Table233031343536383940414243455346" displayName="Table233031343536383940414243455346" ref="A4:K15" totalsRowShown="0" headerRowDxfId="122" dataDxfId="121" tableBorderDxfId="120">
  <autoFilter ref="A4:K15" xr:uid="{63140FF2-D0B5-41C0-A75E-E2F89FF1B3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F91DC4F-E754-4DE3-B124-42344E85DD38}" name="วันที่ขึ้นของ" dataDxfId="119"/>
    <tableColumn id="2" xr3:uid="{0BC658F5-C379-470A-8ECD-9EAB38E3353A}" name="ปลายทาง" dataDxfId="118"/>
    <tableColumn id="3" xr3:uid="{B467A7EA-F02A-4441-8BE4-8C352498E5D4}" name="เลขที่ใบกระจาย" dataDxfId="117"/>
    <tableColumn id="4" xr3:uid="{C5D1FB0F-F9CA-4BE4-AEEB-82D2BCAC5EA1}" name="จำนวน/ชิ้น" dataDxfId="116"/>
    <tableColumn id="5" xr3:uid="{793DC84D-E37B-48B0-B9BF-07B67B78D112}" name="ค่าขนส่ง" dataDxfId="115"/>
    <tableColumn id="6" xr3:uid="{C2A8701C-3863-4359-9710-E1F1BFA27325}" name="ราคา" dataDxfId="114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ED8D4FE4-8CD3-4007-AE36-2FD061B2F707}" name="เป็นเงิน" dataDxfId="113">
      <calculatedColumnFormula>IFERROR(IF(F5&gt;10,F5,F5*D5),"")</calculatedColumnFormula>
    </tableColumn>
    <tableColumn id="8" xr3:uid="{B709BE40-1EE9-44B6-ABA6-310A45A30F7C}" name="พิเศษ" dataDxfId="112"/>
    <tableColumn id="9" xr3:uid="{7C513717-9F39-49AD-B729-34654661E9A4}" name="ราคารวม" dataDxfId="111">
      <calculatedColumnFormula>IFERROR(SUM(G5+H5),"")</calculatedColumnFormula>
    </tableColumn>
    <tableColumn id="10" xr3:uid="{7FFB6BBB-5241-4F7E-A4ED-31A5B0FBB6C2}" name="คงเหลือสุทธิ" dataDxfId="110">
      <calculatedColumnFormula>IFERROR(SUM(H5+I5),"")</calculatedColumnFormula>
    </tableColumn>
    <tableColumn id="11" xr3:uid="{34EDAABC-4F51-4925-9F63-1FF627B1668E}" name="หมายเหตุ" dataDxfId="109" dataCellStyle="ปกติ_Sheet1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CF11CF-3AC9-44A4-AF4F-32D142F3283E}" name="Table45678910111213141517" displayName="Table45678910111213141517" ref="A4:D9" totalsRowCount="1" headerRowDxfId="108" headerRowBorderDxfId="107" tableBorderDxfId="106" totalsRowBorderDxfId="105" headerRowCellStyle="ปกติ_Sheet1">
  <tableColumns count="4">
    <tableColumn id="1" xr3:uid="{5B0C7B7B-74F1-4719-B13C-B5504AF9B13F}" name="ลำดับที่" totalsRowLabel="ผลรวม" dataDxfId="104" totalsRowDxfId="103" dataCellStyle="ปกติ 2 2"/>
    <tableColumn id="2" xr3:uid="{6E7BC656-D575-45BC-83DB-5C3EC903D5B6}" name="ว.ด.ป." dataDxfId="102" totalsRowDxfId="101" dataCellStyle="ปกติ_Sheet1"/>
    <tableColumn id="3" xr3:uid="{BDA81E47-0CB9-4F7C-AF28-739A7E6CF2C3}" name="ใบสั่งเติมน้ำมัน" dataDxfId="100" totalsRowDxfId="99" dataCellStyle="ปกติ_Sheet1"/>
    <tableColumn id="4" xr3:uid="{62054C24-15FD-4613-9898-333734A476DD}" name="เป็นจำนวนเงิน(บาท)" totalsRowFunction="sum" dataDxfId="98" totalsRowDxfId="97" dataCellStyle="จุลภาค"/>
  </tableColumns>
  <tableStyleInfo name="TableStyleMedium1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8E8DC2C-3E10-402A-A125-A7C1FD7D0CB3}" name="Table233031343536383940414243455347" displayName="Table233031343536383940414243455347" ref="A4:K18" totalsRowShown="0" headerRowDxfId="96" dataDxfId="95" tableBorderDxfId="94">
  <autoFilter ref="A4:K18" xr:uid="{6541051F-676C-4911-825F-4766A16B97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64F3C80-0298-48EC-BD16-2962A0012189}" name="วันที่ขึ้นของ" dataDxfId="93"/>
    <tableColumn id="2" xr3:uid="{2E358170-E96F-4617-9993-84BC1F4519EA}" name="ปลายทาง" dataDxfId="92"/>
    <tableColumn id="3" xr3:uid="{16A9C61A-C3E2-4EC8-A834-387041500BBB}" name="เลขที่ใบกระจาย" dataDxfId="91"/>
    <tableColumn id="4" xr3:uid="{D165DC9A-9FCA-4DD9-9D45-C400369E40AA}" name="จำนวน/ชิ้น" dataDxfId="90"/>
    <tableColumn id="5" xr3:uid="{7CDC9E45-DDAE-4673-8612-6A6E1E249DA3}" name="ค่าขนส่ง" dataDxfId="89"/>
    <tableColumn id="6" xr3:uid="{15F7193C-B3F7-4AF1-A2BB-EA8FE13602F2}" name="ราคา" dataDxfId="88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D4DF1FC2-2D78-4975-BBF4-D389738BF43D}" name="เป็นเงิน" dataDxfId="87">
      <calculatedColumnFormula>IFERROR(IF(F5&gt;10,F5,F5*D5),"")</calculatedColumnFormula>
    </tableColumn>
    <tableColumn id="8" xr3:uid="{2C9C891C-6132-49E3-9FDB-863E0BEB8753}" name="พิเศษ" dataDxfId="86"/>
    <tableColumn id="9" xr3:uid="{C34B6CEB-D9BD-4AC2-A48B-699E077ADC28}" name="ราคารวม" dataDxfId="85">
      <calculatedColumnFormula>IFERROR(SUM(G5+H5),"")</calculatedColumnFormula>
    </tableColumn>
    <tableColumn id="10" xr3:uid="{E69AA152-E429-49B4-8DE2-95D6C4390FC7}" name="คงเหลือสุทธิ" dataDxfId="84">
      <calculatedColumnFormula>IFERROR(SUM(H5+I5),"")</calculatedColumnFormula>
    </tableColumn>
    <tableColumn id="11" xr3:uid="{A4525ABC-A9A0-43F0-AEAF-5533F4577797}" name="หมายเหตุ" dataDxfId="83" dataCellStyle="ปกติ_Sheet1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E427030-848F-4F7A-800A-94385E2D3382}" name="Table4567891011121314151718" displayName="Table4567891011121314151718" ref="A4:D12" totalsRowCount="1" headerRowDxfId="82" headerRowBorderDxfId="81" tableBorderDxfId="80" totalsRowBorderDxfId="79" headerRowCellStyle="ปกติ_Sheet1">
  <tableColumns count="4">
    <tableColumn id="1" xr3:uid="{D05A17BB-8837-41A8-9B9D-42876E5D511D}" name="ลำดับที่" totalsRowLabel="ผลรวม" dataDxfId="78" totalsRowDxfId="77" dataCellStyle="ปกติ 2 2"/>
    <tableColumn id="2" xr3:uid="{9A2420B3-5810-4467-8679-746B4978C47D}" name="ว.ด.ป." dataDxfId="76" totalsRowDxfId="75" dataCellStyle="ปกติ_Sheet1"/>
    <tableColumn id="3" xr3:uid="{CA54EAFB-5CDE-4448-92D6-F2B65965A647}" name="ใบสั่งเติมน้ำมัน" dataDxfId="74" totalsRowDxfId="73" dataCellStyle="ปกติ_Sheet1"/>
    <tableColumn id="4" xr3:uid="{BD249B87-4317-4AC2-954B-243BF0EADFE4}" name="เป็นจำนวนเงิน(บาท)" totalsRowFunction="sum" dataDxfId="72" totalsRowDxfId="71" dataCellStyle="จุลภาค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417B4-4F3C-4ED9-8F9E-92B0701DCE0E}" name="Table2" displayName="Table2" ref="A1:L24" headerRowCount="0" totalsRowCount="1" headerRowDxfId="70" dataDxfId="69" totalsRowDxfId="67" tableBorderDxfId="68" totalsRowBorderDxfId="66">
  <tableColumns count="12">
    <tableColumn id="1" xr3:uid="{ADD35114-47AD-46CB-B581-8B741FFB6343}" name="คอลัมน์1" totalsRowLabel="ผลรวม" dataDxfId="65" totalsRowDxfId="64"/>
    <tableColumn id="2" xr3:uid="{767FE33A-7CCC-4C42-B5D9-1B4B11CF7D2B}" name="คอลัมน์2" dataDxfId="63" totalsRowDxfId="62"/>
    <tableColumn id="3" xr3:uid="{DC5F6850-EF00-49BB-8016-EF78F639EF6D}" name="คอลัมน์3" dataDxfId="61" totalsRowDxfId="60"/>
    <tableColumn id="4" xr3:uid="{1EF42BF8-060B-4439-802E-49BC38B9F9FF}" name="คอลัมน์4" dataDxfId="59" totalsRowDxfId="58"/>
    <tableColumn id="5" xr3:uid="{6427D0EB-2C5E-4097-BD0E-9A728023873E}" name="คอลัมน์5" dataDxfId="57" totalsRowDxfId="56"/>
    <tableColumn id="6" xr3:uid="{C5820A35-9814-415B-A11D-83208AB22EA9}" name="คอลัมน์6" dataDxfId="55" totalsRowDxfId="54"/>
    <tableColumn id="7" xr3:uid="{1C736E27-BDCB-414C-95BA-595D663CB535}" name="คอลัมน์7" dataDxfId="53" totalsRowDxfId="52"/>
    <tableColumn id="8" xr3:uid="{F2E7F074-1E0B-431D-AA7E-5A1EAFA8B68C}" name="คอลัมน์8" dataDxfId="51" totalsRowDxfId="50"/>
    <tableColumn id="9" xr3:uid="{DFA3C8C1-5BCE-4A98-A6CE-3B7EADD766AC}" name="คอลัมน์9" dataDxfId="49" totalsRowDxfId="48"/>
    <tableColumn id="10" xr3:uid="{21F71A62-0682-4438-93D4-E397BA4C52E1}" name="คอลัมน์10" dataDxfId="47" totalsRowDxfId="46"/>
    <tableColumn id="11" xr3:uid="{20DBD2C0-86A0-4BED-A61E-0EFFAA6D8BA9}" name="คอลัมน์11" dataDxfId="45" totalsRowDxfId="44"/>
    <tableColumn id="12" xr3:uid="{ECEDF32D-C3F1-44A0-9130-AA0E5F0BCD6B}" name="คอลัมน์12" totalsRowFunction="count" dataDxfId="43" totalsRowDxfId="42"/>
  </tableColumns>
  <tableStyleInfo name="TableStyleMedium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B8C4E98-3068-4801-9263-5B4358EB12C7}" name="Table26" displayName="Table26" ref="A1:C17" totalsRowCount="1" headerRowDxfId="41" dataDxfId="40" totalsRowDxfId="39">
  <autoFilter ref="A1:C16" xr:uid="{344E008B-D14E-41E3-AEC8-DC14A7586D2C}">
    <filterColumn colId="0" hiddenButton="1"/>
    <filterColumn colId="1" hiddenButton="1"/>
    <filterColumn colId="2" hiddenButton="1"/>
  </autoFilter>
  <tableColumns count="3">
    <tableColumn id="1" xr3:uid="{A6DB3548-C5B9-4FC7-A3E6-0E99301BA1DB}" name="คอลัมน์1" totalsRowLabel="ผลรวม" dataDxfId="38" totalsRowDxfId="37"/>
    <tableColumn id="2" xr3:uid="{D0546919-4D0A-484B-BFD9-15633F2DFFD7}" name="คอลัมน์2" dataDxfId="36" totalsRowDxfId="35"/>
    <tableColumn id="3" xr3:uid="{4482B9D3-F04A-44DD-A5A2-38CCCE9980FE}" name="คอลัมน์3" totalsRowFunction="sum" dataDxfId="34" totalsRowDxfId="33"/>
  </tableColumns>
  <tableStyleInfo name="TableStyleMedium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1B885B-CF48-48F2-A087-96E77C14843E}" name="Table3" displayName="Table3" ref="A2:C21" totalsRowShown="0" headerRowDxfId="32" dataDxfId="30" headerRowBorderDxfId="31" tableBorderDxfId="29">
  <autoFilter ref="A2:C21" xr:uid="{BC794DFD-E465-4FAF-940C-393FD5B64380}"/>
  <tableColumns count="3">
    <tableColumn id="1" xr3:uid="{3EA49FDD-AC77-41D9-8029-FBA6F9CB4A40}" name="คอลัมน์1" dataDxfId="28"/>
    <tableColumn id="2" xr3:uid="{DE2B57AE-EC5C-47FB-84CA-CDBBC6F452CD}" name="คอลัมน์2" dataDxfId="27"/>
    <tableColumn id="3" xr3:uid="{0245D2AD-8B37-4765-8DBD-082BEB6F10F3}" name="คอลัมน์3" dataDxfId="26"/>
  </tableColumns>
  <tableStyleInfo name="TableStyleMedium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FCF8384-B5A7-4A76-9BC4-171090A88E9E}" name="Table22" displayName="Table22" ref="B2:C33" totalsRowShown="0" headerRowDxfId="25" headerRowBorderDxfId="24" tableBorderDxfId="23" totalsRowBorderDxfId="22">
  <autoFilter ref="B2:C33" xr:uid="{1BD77A09-6834-4418-A28A-606A86A513DB}"/>
  <tableColumns count="2">
    <tableColumn id="1" xr3:uid="{BCEA349F-8347-4A40-A233-880F6BEC5F4A}" name="ทะเบียน" dataDxfId="21"/>
    <tableColumn id="2" xr3:uid="{8B0087F8-E9B9-4512-848B-BD2618823116}" name="ชื่อ" dataDxfId="20"/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E6413345-88E7-4361-8C19-E5369F5B3EA8}" name="Table76" displayName="Table76" ref="A2:A33" totalsRowShown="0" headerRowDxfId="19" dataDxfId="17" headerRowBorderDxfId="18" tableBorderDxfId="16" totalsRowBorderDxfId="15">
  <autoFilter ref="A2:A33" xr:uid="{13A8DC48-FAAF-4313-B366-1441AB0E7222}"/>
  <tableColumns count="1">
    <tableColumn id="1" xr3:uid="{69A38F30-3ECD-4740-8C37-69C7B4A61448}" name="คอลัมน์1" dataDxfId="14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0631-5435-4B31-8DA3-ACA9117E3ED3}">
  <sheetPr>
    <tabColor theme="5" tint="0.39997558519241921"/>
  </sheetPr>
  <dimension ref="A1:K42"/>
  <sheetViews>
    <sheetView showWhiteSpace="0" zoomScale="112" zoomScaleNormal="112" workbookViewId="0">
      <selection sqref="A1:K42"/>
    </sheetView>
  </sheetViews>
  <sheetFormatPr defaultColWidth="7.125" defaultRowHeight="21" x14ac:dyDescent="0.2"/>
  <cols>
    <col min="1" max="1" width="8.875" style="156" bestFit="1" customWidth="1"/>
    <col min="2" max="2" width="16" style="147" customWidth="1"/>
    <col min="3" max="3" width="10.75" style="147" customWidth="1"/>
    <col min="4" max="4" width="7.25" style="147" customWidth="1"/>
    <col min="5" max="5" width="6.375" style="147" customWidth="1"/>
    <col min="6" max="6" width="6.25" style="147" customWidth="1"/>
    <col min="7" max="7" width="6.625" style="147" customWidth="1"/>
    <col min="8" max="8" width="4.25" style="147" customWidth="1"/>
    <col min="9" max="9" width="7.125" style="147"/>
    <col min="10" max="10" width="9.625" style="147" customWidth="1"/>
    <col min="11" max="11" width="10.625" style="147" customWidth="1"/>
    <col min="12" max="16384" width="7.125" style="147"/>
  </cols>
  <sheetData>
    <row r="1" spans="1:11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1" ht="23.25" x14ac:dyDescent="0.2">
      <c r="A2" s="376" t="str">
        <f>+รายการหัก!I1</f>
        <v>รอบวันที่ 1-15 พฤษภาคม 2569</v>
      </c>
      <c r="B2" s="376"/>
      <c r="C2" s="67"/>
      <c r="D2" s="34" t="s">
        <v>41</v>
      </c>
      <c r="E2" s="21" t="s">
        <v>142</v>
      </c>
      <c r="F2" s="21"/>
      <c r="G2" s="21"/>
      <c r="H2" s="40"/>
      <c r="I2" s="62" t="str">
        <f>VLOOKUP(E2,Table22[],2,0)</f>
        <v>นายมาโนช ยนตะสุข</v>
      </c>
      <c r="J2" s="62"/>
      <c r="K2" s="68"/>
    </row>
    <row r="3" spans="1:11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325" t="s">
        <v>123</v>
      </c>
      <c r="B4" s="326" t="s">
        <v>1</v>
      </c>
      <c r="C4" s="327" t="s">
        <v>124</v>
      </c>
      <c r="D4" s="328" t="s">
        <v>125</v>
      </c>
      <c r="E4" s="329" t="s">
        <v>37</v>
      </c>
      <c r="F4" s="330" t="s">
        <v>2</v>
      </c>
      <c r="G4" s="330" t="s">
        <v>3</v>
      </c>
      <c r="H4" s="105" t="s">
        <v>4</v>
      </c>
      <c r="I4" s="106" t="s">
        <v>5</v>
      </c>
      <c r="J4" s="331" t="s">
        <v>126</v>
      </c>
      <c r="K4" s="332" t="s">
        <v>6</v>
      </c>
    </row>
    <row r="5" spans="1:11" ht="17.25" customHeight="1" x14ac:dyDescent="0.2">
      <c r="A5" s="320">
        <v>46143</v>
      </c>
      <c r="B5" s="148" t="s">
        <v>72</v>
      </c>
      <c r="C5" s="110" t="s">
        <v>354</v>
      </c>
      <c r="D5" s="149">
        <v>425</v>
      </c>
      <c r="E5" s="116" t="s">
        <v>14</v>
      </c>
      <c r="F5" s="150">
        <f t="array" ref="F5">IFERROR(INDEX(ราคาขนส่ง!$D$3:$D$102,MATCH(1,IF(ราคาขนส่ง!$B$3:$B$102=$B5,IF(ราคาขนส่ง!$C$3:$C$102=$E5,1)),0)),"")</f>
        <v>9.3000000000000007</v>
      </c>
      <c r="G5" s="150">
        <f t="shared" ref="G5" si="0">IFERROR(IF(F5&gt;10,F5,F5*D5),"")</f>
        <v>3952.5000000000005</v>
      </c>
      <c r="H5" s="116"/>
      <c r="I5" s="111">
        <f t="shared" ref="I5:I27" si="1">IFERROR(SUM(G5+H5),"")</f>
        <v>3952.5000000000005</v>
      </c>
      <c r="J5" s="112">
        <f t="shared" ref="J5:J27" si="2">IFERROR(SUM(H5+I5),"")</f>
        <v>3952.5000000000005</v>
      </c>
      <c r="K5" s="333"/>
    </row>
    <row r="6" spans="1:11" ht="17.25" customHeight="1" x14ac:dyDescent="0.2">
      <c r="A6" s="320">
        <v>46144</v>
      </c>
      <c r="B6" s="148" t="s">
        <v>19</v>
      </c>
      <c r="C6" s="110" t="s">
        <v>244</v>
      </c>
      <c r="D6" s="149">
        <v>123</v>
      </c>
      <c r="E6" s="116" t="s">
        <v>15</v>
      </c>
      <c r="F6" s="223">
        <f t="array" ref="F6">IFERROR(INDEX(ราคาขนส่ง!$D$3:$D$102,MATCH(1,IF(ราคาขนส่ง!$B$3:$B$102=$B6,IF(ราคาขนส่ง!$C$3:$C$102=$E6,1)),0)),"")</f>
        <v>1300</v>
      </c>
      <c r="G6" s="223">
        <f t="shared" ref="G6:G13" si="3">IFERROR(IF(F6&gt;10,F6,F6*D6),"")</f>
        <v>1300</v>
      </c>
      <c r="H6" s="149"/>
      <c r="I6" s="111">
        <f t="shared" ref="I6:J8" si="4">IFERROR(SUM(G6+H6),"")</f>
        <v>1300</v>
      </c>
      <c r="J6" s="112">
        <f t="shared" si="4"/>
        <v>1300</v>
      </c>
      <c r="K6" s="228"/>
    </row>
    <row r="7" spans="1:11" ht="17.25" customHeight="1" x14ac:dyDescent="0.2">
      <c r="A7" s="320">
        <v>46144</v>
      </c>
      <c r="B7" s="148" t="s">
        <v>19</v>
      </c>
      <c r="C7" s="110" t="s">
        <v>355</v>
      </c>
      <c r="D7" s="149">
        <v>327</v>
      </c>
      <c r="E7" s="116" t="s">
        <v>14</v>
      </c>
      <c r="F7" s="223">
        <f t="array" ref="F7">IFERROR(INDEX(ราคาขนส่ง!$D$3:$D$102,MATCH(1,IF(ราคาขนส่ง!$B$3:$B$102=$B7,IF(ราคาขนส่ง!$C$3:$C$102=$E7,1)),0)),"")</f>
        <v>5.6</v>
      </c>
      <c r="G7" s="223">
        <f t="shared" si="3"/>
        <v>1831.1999999999998</v>
      </c>
      <c r="H7" s="149"/>
      <c r="I7" s="111">
        <f t="shared" si="4"/>
        <v>1831.1999999999998</v>
      </c>
      <c r="J7" s="112">
        <f t="shared" si="4"/>
        <v>1831.1999999999998</v>
      </c>
      <c r="K7" s="228"/>
    </row>
    <row r="8" spans="1:11" ht="17.25" customHeight="1" x14ac:dyDescent="0.2">
      <c r="A8" s="320">
        <v>46145</v>
      </c>
      <c r="B8" s="148" t="s">
        <v>30</v>
      </c>
      <c r="C8" s="110" t="s">
        <v>356</v>
      </c>
      <c r="D8" s="149">
        <v>171</v>
      </c>
      <c r="E8" s="116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1350</v>
      </c>
      <c r="G8" s="223">
        <f t="shared" si="3"/>
        <v>1350</v>
      </c>
      <c r="H8" s="149"/>
      <c r="I8" s="111">
        <f t="shared" si="4"/>
        <v>1350</v>
      </c>
      <c r="J8" s="112">
        <f t="shared" si="4"/>
        <v>1350</v>
      </c>
      <c r="K8" s="228"/>
    </row>
    <row r="9" spans="1:11" ht="17.25" customHeight="1" x14ac:dyDescent="0.2">
      <c r="A9" s="109">
        <v>46146</v>
      </c>
      <c r="B9" s="148" t="s">
        <v>44</v>
      </c>
      <c r="C9" s="110" t="s">
        <v>337</v>
      </c>
      <c r="D9" s="149">
        <v>390</v>
      </c>
      <c r="E9" s="116" t="s">
        <v>14</v>
      </c>
      <c r="F9" s="223" cm="1">
        <f t="array" ref="F9">IFERROR(INDEX(ราคาขนส่ง!$D$3:$D$102,MATCH(1,IF(ราคาขนส่ง!$B$3:$B$102=$B9,IF(ราคาขนส่ง!$C$3:$C$102=$E9,1)),0)),"")</f>
        <v>3</v>
      </c>
      <c r="G9" s="223">
        <f>IFERROR(IF(F9&gt;10,F9,F9*D9),"")</f>
        <v>1170</v>
      </c>
      <c r="H9" s="149"/>
      <c r="I9" s="111">
        <f t="shared" ref="I9:J11" si="5">IFERROR(SUM(G9+H9),"")</f>
        <v>1170</v>
      </c>
      <c r="J9" s="112">
        <f t="shared" si="5"/>
        <v>1170</v>
      </c>
      <c r="K9" s="228"/>
    </row>
    <row r="10" spans="1:11" ht="17.25" customHeight="1" x14ac:dyDescent="0.2">
      <c r="A10" s="234">
        <v>46146</v>
      </c>
      <c r="B10" s="235" t="s">
        <v>26</v>
      </c>
      <c r="C10" s="249" t="s">
        <v>357</v>
      </c>
      <c r="D10" s="371">
        <v>155</v>
      </c>
      <c r="E10" s="365" t="s">
        <v>15</v>
      </c>
      <c r="F10" s="364" cm="1">
        <f t="array" ref="F10">IFERROR(INDEX(ราคาขนส่ง!$D$3:$D$102,MATCH(1,IF(ราคาขนส่ง!$B$3:$B$102=$B10,IF(ราคาขนส่ง!$C$3:$C$102=$E10,1)),0)),"")</f>
        <v>1650</v>
      </c>
      <c r="G10" s="364">
        <f>IFERROR(IF(F10&gt;10,F10,F10*D10),"")</f>
        <v>1650</v>
      </c>
      <c r="H10" s="236"/>
      <c r="I10" s="239">
        <f t="shared" si="5"/>
        <v>1650</v>
      </c>
      <c r="J10" s="240">
        <f t="shared" si="5"/>
        <v>1650</v>
      </c>
      <c r="K10" s="366"/>
    </row>
    <row r="11" spans="1:11" ht="17.25" customHeight="1" x14ac:dyDescent="0.2">
      <c r="A11" s="109">
        <v>46147</v>
      </c>
      <c r="B11" s="235" t="s">
        <v>26</v>
      </c>
      <c r="C11" s="249" t="s">
        <v>346</v>
      </c>
      <c r="D11" s="371">
        <v>150</v>
      </c>
      <c r="E11" s="365" t="s">
        <v>15</v>
      </c>
      <c r="F11" s="355" cm="1">
        <f t="array" ref="F11">IFERROR(INDEX(ราคาขนส่ง!$D$3:$D$102,MATCH(1,IF(ราคาขนส่ง!$B$3:$B$102=$B11,IF(ราคาขนส่ง!$C$3:$C$102=$E11,1)),0)),"")</f>
        <v>1650</v>
      </c>
      <c r="G11" s="355">
        <f>IFERROR(IF(F11&gt;10,F11,F11*D11),"")</f>
        <v>1650</v>
      </c>
      <c r="H11" s="149"/>
      <c r="I11" s="111">
        <f t="shared" si="5"/>
        <v>1650</v>
      </c>
      <c r="J11" s="112">
        <f t="shared" si="5"/>
        <v>1650</v>
      </c>
      <c r="K11" s="228"/>
    </row>
    <row r="12" spans="1:11" ht="17.25" customHeight="1" x14ac:dyDescent="0.2">
      <c r="A12" s="109">
        <v>46148</v>
      </c>
      <c r="B12" s="148" t="s">
        <v>24</v>
      </c>
      <c r="C12" s="249" t="s">
        <v>292</v>
      </c>
      <c r="D12" s="371">
        <v>132</v>
      </c>
      <c r="E12" s="365" t="s">
        <v>15</v>
      </c>
      <c r="F12" s="150">
        <f t="array" ref="F12">IFERROR(INDEX(ราคาขนส่ง!$D$3:$D$102,MATCH(1,IF(ราคาขนส่ง!$B$3:$B$102=$B12,IF(ราคาขนส่ง!$C$3:$C$102=$E12,1)),0)),"")</f>
        <v>1700</v>
      </c>
      <c r="G12" s="150">
        <f t="shared" si="3"/>
        <v>1700</v>
      </c>
      <c r="H12" s="116"/>
      <c r="I12" s="111">
        <f t="shared" si="1"/>
        <v>1700</v>
      </c>
      <c r="J12" s="112">
        <f t="shared" si="2"/>
        <v>1700</v>
      </c>
      <c r="K12" s="333"/>
    </row>
    <row r="13" spans="1:11" ht="17.25" customHeight="1" x14ac:dyDescent="0.2">
      <c r="A13" s="109">
        <v>46148</v>
      </c>
      <c r="B13" s="235" t="s">
        <v>26</v>
      </c>
      <c r="C13" s="249" t="s">
        <v>358</v>
      </c>
      <c r="D13" s="371">
        <v>144</v>
      </c>
      <c r="E13" s="365" t="s">
        <v>15</v>
      </c>
      <c r="F13" s="223" cm="1">
        <f t="array" ref="F13">IFERROR(INDEX(ราคาขนส่ง!$D$3:$D$102,MATCH(1,IF(ราคาขนส่ง!$B$3:$B$102=$B13,IF(ราคาขนส่ง!$C$3:$C$102=$E13,1)),0)),"")</f>
        <v>1650</v>
      </c>
      <c r="G13" s="223">
        <f t="shared" si="3"/>
        <v>1650</v>
      </c>
      <c r="H13" s="149"/>
      <c r="I13" s="111">
        <f>IFERROR(SUM(G13+H13),"")</f>
        <v>1650</v>
      </c>
      <c r="J13" s="112">
        <f>IFERROR(SUM(H13+I13),"")</f>
        <v>1650</v>
      </c>
      <c r="K13" s="349"/>
    </row>
    <row r="14" spans="1:11" ht="17.25" customHeight="1" x14ac:dyDescent="0.2">
      <c r="A14" s="109">
        <v>46149</v>
      </c>
      <c r="B14" s="235" t="s">
        <v>26</v>
      </c>
      <c r="C14" s="249" t="s">
        <v>294</v>
      </c>
      <c r="D14" s="371">
        <v>137</v>
      </c>
      <c r="E14" s="365" t="s">
        <v>15</v>
      </c>
      <c r="F14" s="150">
        <f t="array" ref="F14">IFERROR(INDEX(ราคาขนส่ง!$D$3:$D$102,MATCH(1,IF(ราคาขนส่ง!$B$3:$B$102=$B14,IF(ราคาขนส่ง!$C$3:$C$102=$E14,1)),0)),"")</f>
        <v>1650</v>
      </c>
      <c r="G14" s="150">
        <f t="shared" ref="G14:G27" si="6">IFERROR(IF(F14&gt;10,F14,F14*D14),"")</f>
        <v>1650</v>
      </c>
      <c r="H14" s="116"/>
      <c r="I14" s="111">
        <f t="shared" si="1"/>
        <v>1650</v>
      </c>
      <c r="J14" s="112">
        <f t="shared" si="2"/>
        <v>1650</v>
      </c>
      <c r="K14" s="363"/>
    </row>
    <row r="15" spans="1:11" ht="17.25" customHeight="1" x14ac:dyDescent="0.2">
      <c r="A15" s="234">
        <v>46150</v>
      </c>
      <c r="B15" s="235" t="s">
        <v>60</v>
      </c>
      <c r="C15" s="249" t="s">
        <v>359</v>
      </c>
      <c r="D15" s="371">
        <v>82</v>
      </c>
      <c r="E15" s="365" t="s">
        <v>15</v>
      </c>
      <c r="F15" s="364" cm="1">
        <f t="array" ref="F15">IFERROR(INDEX(ราคาขนส่ง!$D$3:$D$102,MATCH(1,IF(ราคาขนส่ง!$B$3:$B$102=$B15,IF(ราคาขนส่ง!$C$3:$C$102=$E15,1)),0)),"")</f>
        <v>1300</v>
      </c>
      <c r="G15" s="364">
        <f>IFERROR(IF(F15&gt;10,F15,F15*D15),"")</f>
        <v>1300</v>
      </c>
      <c r="H15" s="236"/>
      <c r="I15" s="239">
        <f>IFERROR(SUM(G15+H15),"")</f>
        <v>1300</v>
      </c>
      <c r="J15" s="240">
        <f>IFERROR(SUM(H15+I15),"")</f>
        <v>1300</v>
      </c>
      <c r="K15" s="366"/>
    </row>
    <row r="16" spans="1:11" ht="17.25" customHeight="1" x14ac:dyDescent="0.2">
      <c r="A16" s="234">
        <v>46150</v>
      </c>
      <c r="B16" s="235" t="s">
        <v>72</v>
      </c>
      <c r="C16" s="249" t="s">
        <v>349</v>
      </c>
      <c r="D16" s="371">
        <v>142</v>
      </c>
      <c r="E16" s="365" t="s">
        <v>15</v>
      </c>
      <c r="F16" s="364" cm="1">
        <f t="array" ref="F16">IFERROR(INDEX(ราคาขนส่ง!$D$3:$D$102,MATCH(1,IF(ราคาขนส่ง!$B$3:$B$102=$B16,IF(ราคาขนส่ง!$C$3:$C$102=$E16,1)),0)),"")</f>
        <v>2500</v>
      </c>
      <c r="G16" s="364">
        <f>IFERROR(IF(F16&gt;10,F16,F16*D16),"")</f>
        <v>2500</v>
      </c>
      <c r="H16" s="236"/>
      <c r="I16" s="239">
        <f>IFERROR(SUM(G16+H16),"")</f>
        <v>2500</v>
      </c>
      <c r="J16" s="240">
        <f>IFERROR(SUM(H16+I16),"")</f>
        <v>2500</v>
      </c>
      <c r="K16" s="366" t="s">
        <v>148</v>
      </c>
    </row>
    <row r="17" spans="1:11" ht="17.25" customHeight="1" x14ac:dyDescent="0.2">
      <c r="A17" s="234">
        <v>46151</v>
      </c>
      <c r="B17" s="235" t="s">
        <v>60</v>
      </c>
      <c r="C17" s="249" t="s">
        <v>360</v>
      </c>
      <c r="D17" s="371">
        <v>148</v>
      </c>
      <c r="E17" s="365" t="s">
        <v>15</v>
      </c>
      <c r="F17" s="238" cm="1">
        <f t="array" ref="F17">IFERROR(INDEX(ราคาขนส่ง!$D$3:$D$102,MATCH(1,IF(ราคาขนส่ง!$B$3:$B$102=$B17,IF(ราคาขนส่ง!$C$3:$C$102=$E17,1)),0)),"")</f>
        <v>1300</v>
      </c>
      <c r="G17" s="238">
        <f t="shared" ref="G17:G18" si="7">IFERROR(IF(F17&gt;10,F17,F17*D17),"")</f>
        <v>1300</v>
      </c>
      <c r="H17" s="236"/>
      <c r="I17" s="239">
        <f t="shared" ref="I17:J18" si="8">IFERROR(SUM(G17+H17),"")</f>
        <v>1300</v>
      </c>
      <c r="J17" s="240">
        <f t="shared" si="8"/>
        <v>1300</v>
      </c>
      <c r="K17" s="366"/>
    </row>
    <row r="18" spans="1:11" ht="17.25" customHeight="1" x14ac:dyDescent="0.2">
      <c r="A18" s="109">
        <v>46152</v>
      </c>
      <c r="B18" s="148" t="s">
        <v>26</v>
      </c>
      <c r="C18" s="249" t="s">
        <v>361</v>
      </c>
      <c r="D18" s="371">
        <v>168</v>
      </c>
      <c r="E18" s="116" t="s">
        <v>15</v>
      </c>
      <c r="F18" s="223" cm="1">
        <f t="array" ref="F18">IFERROR(INDEX(ราคาขนส่ง!$D$3:$D$102,MATCH(1,IF(ราคาขนส่ง!$B$3:$B$102=$B18,IF(ราคาขนส่ง!$C$3:$C$102=$E18,1)),0)),"")</f>
        <v>1650</v>
      </c>
      <c r="G18" s="223">
        <f t="shared" si="7"/>
        <v>1650</v>
      </c>
      <c r="H18" s="149"/>
      <c r="I18" s="111">
        <f t="shared" si="8"/>
        <v>1650</v>
      </c>
      <c r="J18" s="112">
        <f t="shared" si="8"/>
        <v>1650</v>
      </c>
      <c r="K18" s="366"/>
    </row>
    <row r="19" spans="1:11" ht="17.25" customHeight="1" x14ac:dyDescent="0.2">
      <c r="A19" s="109">
        <v>46153</v>
      </c>
      <c r="B19" s="148" t="s">
        <v>55</v>
      </c>
      <c r="C19" s="249" t="s">
        <v>363</v>
      </c>
      <c r="D19" s="371">
        <v>397</v>
      </c>
      <c r="E19" s="116" t="s">
        <v>14</v>
      </c>
      <c r="F19" s="355" cm="1">
        <f t="array" ref="F19">IFERROR(INDEX(ราคาขนส่ง!$D$3:$D$102,MATCH(1,IF(ราคาขนส่ง!$B$3:$B$102=$B19,IF(ราคาขนส่ง!$C$3:$C$102=$E19,1)),0)),"")</f>
        <v>5.6</v>
      </c>
      <c r="G19" s="355">
        <f>IFERROR(IF(F19&gt;10,F19,F19*D19),"")</f>
        <v>2223.1999999999998</v>
      </c>
      <c r="H19" s="149"/>
      <c r="I19" s="111">
        <f>IFERROR(SUM(G19+H19),"")</f>
        <v>2223.1999999999998</v>
      </c>
      <c r="J19" s="112">
        <f>IFERROR(SUM(H19+I19),"")</f>
        <v>2223.1999999999998</v>
      </c>
      <c r="K19" s="349"/>
    </row>
    <row r="20" spans="1:11" ht="17.25" customHeight="1" x14ac:dyDescent="0.2">
      <c r="A20" s="109">
        <v>46153</v>
      </c>
      <c r="B20" s="148" t="s">
        <v>44</v>
      </c>
      <c r="C20" s="249" t="s">
        <v>362</v>
      </c>
      <c r="D20" s="371">
        <v>140</v>
      </c>
      <c r="E20" s="116" t="s">
        <v>14</v>
      </c>
      <c r="F20" s="355" cm="1">
        <f t="array" ref="F20">IFERROR(INDEX(ราคาขนส่ง!$D$3:$D$102,MATCH(1,IF(ราคาขนส่ง!$B$3:$B$102=$B20,IF(ราคาขนส่ง!$C$3:$C$102=$E20,1)),0)),"")</f>
        <v>3</v>
      </c>
      <c r="G20" s="355">
        <f t="shared" ref="G20:G21" si="9">IFERROR(IF(F20&gt;10,F20,F20*D20),"")</f>
        <v>420</v>
      </c>
      <c r="H20" s="149"/>
      <c r="I20" s="111">
        <f t="shared" ref="I20:I21" si="10">IFERROR(SUM(G20+H20),"")</f>
        <v>420</v>
      </c>
      <c r="J20" s="112">
        <f t="shared" ref="J20:J21" si="11">IFERROR(SUM(H20+I20),"")</f>
        <v>420</v>
      </c>
      <c r="K20" s="228"/>
    </row>
    <row r="21" spans="1:11" ht="17.25" customHeight="1" x14ac:dyDescent="0.2">
      <c r="A21" s="109">
        <v>46154</v>
      </c>
      <c r="B21" s="148" t="s">
        <v>22</v>
      </c>
      <c r="C21" s="249" t="s">
        <v>343</v>
      </c>
      <c r="D21" s="371">
        <v>209</v>
      </c>
      <c r="E21" s="116" t="s">
        <v>15</v>
      </c>
      <c r="F21" s="355" cm="1">
        <f t="array" ref="F21">IFERROR(INDEX(ราคาขนส่ง!$D$3:$D$102,MATCH(1,IF(ราคาขนส่ง!$B$3:$B$102=$B21,IF(ราคาขนส่ง!$C$3:$C$102=$E21,1)),0)),"")</f>
        <v>1300</v>
      </c>
      <c r="G21" s="355">
        <f t="shared" si="9"/>
        <v>1300</v>
      </c>
      <c r="H21" s="149"/>
      <c r="I21" s="111">
        <f t="shared" si="10"/>
        <v>1300</v>
      </c>
      <c r="J21" s="112">
        <f t="shared" si="11"/>
        <v>1300</v>
      </c>
      <c r="K21" s="228"/>
    </row>
    <row r="22" spans="1:11" ht="17.25" customHeight="1" x14ac:dyDescent="0.2">
      <c r="A22" s="109">
        <v>46065</v>
      </c>
      <c r="B22" s="148" t="s">
        <v>22</v>
      </c>
      <c r="C22" s="249" t="s">
        <v>332</v>
      </c>
      <c r="D22" s="371">
        <v>210</v>
      </c>
      <c r="E22" s="116" t="s">
        <v>15</v>
      </c>
      <c r="F22" s="355" cm="1">
        <f t="array" ref="F22">IFERROR(INDEX(ราคาขนส่ง!$D$3:$D$102,MATCH(1,IF(ราคาขนส่ง!$B$3:$B$102=$B22,IF(ราคาขนส่ง!$C$3:$C$102=$E22,1)),0)),"")</f>
        <v>1300</v>
      </c>
      <c r="G22" s="355">
        <f t="shared" ref="G22:G23" si="12">IFERROR(IF(F22&gt;10,F22,F22*D22),"")</f>
        <v>1300</v>
      </c>
      <c r="H22" s="149"/>
      <c r="I22" s="111">
        <f t="shared" ref="I22:I23" si="13">IFERROR(SUM(G22+H22),"")</f>
        <v>1300</v>
      </c>
      <c r="J22" s="112">
        <f t="shared" ref="J22:J23" si="14">IFERROR(SUM(H22+I22),"")</f>
        <v>1300</v>
      </c>
      <c r="K22" s="228"/>
    </row>
    <row r="23" spans="1:11" ht="17.25" customHeight="1" x14ac:dyDescent="0.2">
      <c r="A23" s="109">
        <v>46155</v>
      </c>
      <c r="B23" s="148" t="s">
        <v>44</v>
      </c>
      <c r="C23" s="249" t="s">
        <v>364</v>
      </c>
      <c r="D23" s="371">
        <v>228</v>
      </c>
      <c r="E23" s="116" t="s">
        <v>14</v>
      </c>
      <c r="F23" s="355" cm="1">
        <f t="array" ref="F23">IFERROR(INDEX(ราคาขนส่ง!$D$3:$D$102,MATCH(1,IF(ราคาขนส่ง!$B$3:$B$102=$B23,IF(ราคาขนส่ง!$C$3:$C$102=$E23,1)),0)),"")</f>
        <v>3</v>
      </c>
      <c r="G23" s="355">
        <f t="shared" si="12"/>
        <v>684</v>
      </c>
      <c r="H23" s="149"/>
      <c r="I23" s="111">
        <f t="shared" si="13"/>
        <v>684</v>
      </c>
      <c r="J23" s="112">
        <f t="shared" si="14"/>
        <v>684</v>
      </c>
      <c r="K23" s="228"/>
    </row>
    <row r="24" spans="1:11" ht="17.25" customHeight="1" x14ac:dyDescent="0.2">
      <c r="A24" s="109">
        <v>46155</v>
      </c>
      <c r="B24" s="148" t="s">
        <v>72</v>
      </c>
      <c r="C24" s="249" t="s">
        <v>302</v>
      </c>
      <c r="D24" s="371">
        <v>176</v>
      </c>
      <c r="E24" s="116" t="s">
        <v>15</v>
      </c>
      <c r="F24" s="355" cm="1">
        <f t="array" ref="F24">IFERROR(INDEX(ราคาขนส่ง!$D$3:$D$102,MATCH(1,IF(ราคาขนส่ง!$B$3:$B$102=$B24,IF(ราคาขนส่ง!$C$3:$C$102=$E24,1)),0)),"")</f>
        <v>2500</v>
      </c>
      <c r="G24" s="355">
        <f t="shared" ref="G24:G25" si="15">IFERROR(IF(F24&gt;10,F24,F24*D24),"")</f>
        <v>2500</v>
      </c>
      <c r="H24" s="149"/>
      <c r="I24" s="111">
        <f t="shared" ref="I24:I25" si="16">IFERROR(SUM(G24+H24),"")</f>
        <v>2500</v>
      </c>
      <c r="J24" s="112">
        <f t="shared" ref="J24:J25" si="17">IFERROR(SUM(H24+I24),"")</f>
        <v>2500</v>
      </c>
      <c r="K24" s="228"/>
    </row>
    <row r="25" spans="1:11" ht="17.25" customHeight="1" x14ac:dyDescent="0.2">
      <c r="A25" s="109">
        <v>46156</v>
      </c>
      <c r="B25" s="148" t="s">
        <v>72</v>
      </c>
      <c r="C25" s="249" t="s">
        <v>275</v>
      </c>
      <c r="D25" s="371">
        <v>481</v>
      </c>
      <c r="E25" s="357" t="s">
        <v>14</v>
      </c>
      <c r="F25" s="355" cm="1">
        <f t="array" ref="F25">IFERROR(INDEX(ราคาขนส่ง!$D$3:$D$102,MATCH(1,IF(ราคาขนส่ง!$B$3:$B$102=$B25,IF(ราคาขนส่ง!$C$3:$C$102=$E25,1)),0)),"")</f>
        <v>9.3000000000000007</v>
      </c>
      <c r="G25" s="355">
        <f t="shared" si="15"/>
        <v>4473.3</v>
      </c>
      <c r="H25" s="149"/>
      <c r="I25" s="111">
        <f t="shared" si="16"/>
        <v>4473.3</v>
      </c>
      <c r="J25" s="112">
        <f t="shared" si="17"/>
        <v>4473.3</v>
      </c>
      <c r="K25" s="228"/>
    </row>
    <row r="26" spans="1:11" ht="17.25" customHeight="1" x14ac:dyDescent="0.2">
      <c r="A26" s="109">
        <v>46157</v>
      </c>
      <c r="B26" s="148" t="s">
        <v>26</v>
      </c>
      <c r="C26" s="249" t="s">
        <v>365</v>
      </c>
      <c r="D26" s="371">
        <v>140</v>
      </c>
      <c r="E26" s="116" t="s">
        <v>15</v>
      </c>
      <c r="F26" s="355" cm="1">
        <f t="array" ref="F26">IFERROR(INDEX(ราคาขนส่ง!$D$3:$D$102,MATCH(1,IF(ราคาขนส่ง!$B$3:$B$102=$B26,IF(ราคาขนส่ง!$C$3:$C$102=$E26,1)),0)),"")</f>
        <v>1650</v>
      </c>
      <c r="G26" s="355">
        <f>IFERROR(IF(F26&gt;10,F26,F26*D26),"")</f>
        <v>1650</v>
      </c>
      <c r="H26" s="149"/>
      <c r="I26" s="111">
        <f>IFERROR(SUM(G26+H26),"")</f>
        <v>1650</v>
      </c>
      <c r="J26" s="112">
        <f>IFERROR(SUM(H26+I26),"")</f>
        <v>1650</v>
      </c>
      <c r="K26" s="228"/>
    </row>
    <row r="27" spans="1:11" ht="15.75" customHeight="1" x14ac:dyDescent="0.2">
      <c r="A27" s="113"/>
      <c r="B27" s="334"/>
      <c r="C27" s="224"/>
      <c r="D27" s="335"/>
      <c r="E27" s="117" t="s">
        <v>14</v>
      </c>
      <c r="F27" s="154" t="str">
        <f t="array" ref="F27">IFERROR(INDEX(ราคาขนส่ง!$D$3:$D$102,MATCH(1,IF(ราคาขนส่ง!$B$3:$B$102=$B27,IF(ราคาขนส่ง!$C$3:$C$102=$E27,1)),0)),"")</f>
        <v/>
      </c>
      <c r="G27" s="154" t="str">
        <f t="shared" si="6"/>
        <v/>
      </c>
      <c r="H27" s="117"/>
      <c r="I27" s="114" t="str">
        <f t="shared" si="1"/>
        <v/>
      </c>
      <c r="J27" s="115" t="str">
        <f t="shared" si="2"/>
        <v/>
      </c>
      <c r="K27" s="336"/>
    </row>
    <row r="28" spans="1:11" ht="23.25" x14ac:dyDescent="0.2">
      <c r="A28" s="22"/>
      <c r="B28" s="24" t="s">
        <v>7</v>
      </c>
      <c r="C28" s="17"/>
      <c r="D28" s="24">
        <f>SUM(D5:D27)</f>
        <v>4675</v>
      </c>
      <c r="E28" s="24"/>
      <c r="F28" s="25"/>
      <c r="G28" s="55"/>
      <c r="I28" s="64">
        <f>SUM(I5:I27)</f>
        <v>39204.200000000004</v>
      </c>
      <c r="J28" s="65">
        <f>SUM(J5:J27)</f>
        <v>39204.200000000004</v>
      </c>
      <c r="K28" s="56"/>
    </row>
    <row r="29" spans="1:11" ht="23.25" x14ac:dyDescent="0.2">
      <c r="A29" s="26" t="s">
        <v>8</v>
      </c>
      <c r="B29" s="11"/>
      <c r="C29" s="57"/>
      <c r="D29" s="10"/>
      <c r="E29" s="10"/>
      <c r="F29" s="11"/>
      <c r="G29" s="19"/>
      <c r="H29" s="20"/>
      <c r="I29" s="58"/>
      <c r="J29" s="58"/>
      <c r="K29" s="59"/>
    </row>
    <row r="30" spans="1:11" ht="21.75" customHeight="1" x14ac:dyDescent="0.2">
      <c r="A30" s="12"/>
      <c r="B30" s="171" t="s">
        <v>9</v>
      </c>
      <c r="C30" s="172">
        <f>J28</f>
        <v>39204.200000000004</v>
      </c>
      <c r="D30" s="171" t="s">
        <v>10</v>
      </c>
      <c r="E30" s="171"/>
      <c r="F30" s="27"/>
      <c r="G30" s="19"/>
      <c r="H30" s="20"/>
      <c r="I30" s="58"/>
      <c r="J30" s="58"/>
      <c r="K30" s="59"/>
    </row>
    <row r="31" spans="1:11" ht="21.75" customHeight="1" x14ac:dyDescent="0.2">
      <c r="A31" s="12"/>
      <c r="B31" s="171" t="s">
        <v>11</v>
      </c>
      <c r="C31" s="173">
        <f>SUM(C30/100)</f>
        <v>392.04200000000003</v>
      </c>
      <c r="D31" s="171" t="s">
        <v>10</v>
      </c>
      <c r="E31" s="171"/>
      <c r="F31" s="27"/>
      <c r="G31" s="19"/>
      <c r="H31" s="20"/>
      <c r="I31" s="58"/>
      <c r="J31" s="58"/>
      <c r="K31" s="59"/>
    </row>
    <row r="32" spans="1:11" ht="21.75" customHeight="1" x14ac:dyDescent="0.2">
      <c r="A32" s="12"/>
      <c r="B32" s="174" t="s">
        <v>74</v>
      </c>
      <c r="C32" s="175">
        <f>+Table456782[[#Totals],[เป็นจำนวนเงิน(บาท)]]</f>
        <v>0</v>
      </c>
      <c r="D32" s="174" t="s">
        <v>10</v>
      </c>
      <c r="E32" s="176"/>
      <c r="F32" s="28"/>
      <c r="G32" s="19" t="s">
        <v>149</v>
      </c>
      <c r="H32" s="20"/>
      <c r="I32" s="58"/>
      <c r="J32" s="58"/>
      <c r="K32" s="59"/>
    </row>
    <row r="33" spans="1:11" ht="21.75" customHeight="1" x14ac:dyDescent="0.2">
      <c r="A33" s="12"/>
      <c r="B33" s="177" t="str">
        <f>+รายการหัก!C2</f>
        <v>ค่าอัพเดทบิล</v>
      </c>
      <c r="C33" s="178">
        <f>+รายการหัก!C4</f>
        <v>0</v>
      </c>
      <c r="D33" s="177" t="s">
        <v>10</v>
      </c>
      <c r="E33" s="176"/>
      <c r="F33" s="28"/>
      <c r="G33" s="19"/>
      <c r="H33" s="20"/>
      <c r="I33" s="58"/>
      <c r="J33" s="58"/>
      <c r="K33" s="59"/>
    </row>
    <row r="34" spans="1:11" ht="21.75" customHeight="1" x14ac:dyDescent="0.2">
      <c r="A34" s="12"/>
      <c r="B34" s="179" t="str">
        <f>+รายการหัก!D2</f>
        <v>หักค่าโทรศัพท์</v>
      </c>
      <c r="C34" s="180">
        <f>+รายการหัก!D4</f>
        <v>0</v>
      </c>
      <c r="D34" s="179" t="s">
        <v>10</v>
      </c>
      <c r="E34" s="181"/>
      <c r="F34" s="11"/>
      <c r="G34" s="19"/>
      <c r="H34" s="20"/>
      <c r="I34" s="58"/>
      <c r="J34" s="58"/>
      <c r="K34" s="59"/>
    </row>
    <row r="35" spans="1:11" ht="21.75" customHeight="1" x14ac:dyDescent="0.2">
      <c r="A35" s="12"/>
      <c r="B35" s="182" t="str">
        <f>+รายการหัก!E2</f>
        <v>หักค่าGPS</v>
      </c>
      <c r="C35" s="163">
        <f>+รายการหัก!E4</f>
        <v>0</v>
      </c>
      <c r="D35" s="182" t="s">
        <v>10</v>
      </c>
      <c r="E35" s="163">
        <f>+รายการหัก!F4</f>
        <v>0</v>
      </c>
      <c r="F35" s="11"/>
      <c r="G35" s="19"/>
      <c r="H35" s="20"/>
      <c r="I35" s="58"/>
      <c r="J35" s="58"/>
      <c r="K35" s="59"/>
    </row>
    <row r="36" spans="1:11" ht="21.75" customHeight="1" x14ac:dyDescent="0.2">
      <c r="A36" s="12"/>
      <c r="B36" s="183" t="str">
        <f>+รายการหัก!G2</f>
        <v>หักค่ายืมเงิน</v>
      </c>
      <c r="C36" s="164">
        <f>+รายการหัก!G4</f>
        <v>0</v>
      </c>
      <c r="D36" s="183" t="s">
        <v>10</v>
      </c>
      <c r="E36" s="164">
        <f>+รายการหัก!H4</f>
        <v>0</v>
      </c>
      <c r="F36" s="11"/>
      <c r="G36" s="19"/>
      <c r="H36" s="20"/>
      <c r="I36" s="58"/>
      <c r="J36" s="58"/>
      <c r="K36" s="59"/>
    </row>
    <row r="37" spans="1:11" ht="21.75" customHeight="1" x14ac:dyDescent="0.2">
      <c r="A37" s="12"/>
      <c r="B37" s="184" t="str">
        <f>+รายการหัก!I2</f>
        <v>หักค่าสัญญาณGPS รายปี</v>
      </c>
      <c r="C37" s="165">
        <f>+รายการหัก!I4</f>
        <v>0</v>
      </c>
      <c r="D37" s="185" t="s">
        <v>10</v>
      </c>
      <c r="E37" s="165">
        <f>+รายการหัก!J4</f>
        <v>0</v>
      </c>
      <c r="F37" s="29"/>
      <c r="G37" s="19"/>
      <c r="H37" s="20"/>
      <c r="I37" s="58"/>
      <c r="J37" s="58"/>
      <c r="K37" s="59"/>
    </row>
    <row r="38" spans="1:11" ht="21.75" customHeight="1" x14ac:dyDescent="0.2">
      <c r="A38" s="12"/>
      <c r="B38" s="186" t="str">
        <f>+รายการหัก!K2</f>
        <v>หักค่าประกัน</v>
      </c>
      <c r="C38" s="166">
        <f>+รายการหัก!K4</f>
        <v>0</v>
      </c>
      <c r="D38" s="187" t="s">
        <v>10</v>
      </c>
      <c r="E38" s="166">
        <f>+รายการหัก!L4</f>
        <v>0</v>
      </c>
      <c r="F38" s="379"/>
      <c r="G38" s="379"/>
      <c r="H38" s="379"/>
      <c r="I38" s="379"/>
      <c r="J38" s="58"/>
      <c r="K38" s="59"/>
    </row>
    <row r="39" spans="1:11" ht="21.75" customHeight="1" x14ac:dyDescent="0.2">
      <c r="A39" s="23"/>
      <c r="B39" s="188" t="s">
        <v>12</v>
      </c>
      <c r="C39" s="189">
        <f>SUM(C30-C31-C32+C33-C34-C35-C36-C37-C38)</f>
        <v>38812.158000000003</v>
      </c>
      <c r="D39" s="188" t="s">
        <v>10</v>
      </c>
      <c r="E39" s="190"/>
      <c r="F39" s="30"/>
    </row>
    <row r="41" spans="1:11" ht="23.25" x14ac:dyDescent="0.2">
      <c r="A41" s="221"/>
      <c r="B41" s="222" t="s">
        <v>137</v>
      </c>
    </row>
    <row r="42" spans="1:11" ht="26.25" x14ac:dyDescent="0.2">
      <c r="B42" s="378"/>
      <c r="C42" s="378"/>
    </row>
  </sheetData>
  <mergeCells count="5">
    <mergeCell ref="A1:K1"/>
    <mergeCell ref="A2:B2"/>
    <mergeCell ref="A3:B3"/>
    <mergeCell ref="B42:C42"/>
    <mergeCell ref="F38:I38"/>
  </mergeCells>
  <phoneticPr fontId="63" type="noConversion"/>
  <dataValidations count="1">
    <dataValidation type="list" allowBlank="1" showInputMessage="1" showErrorMessage="1" sqref="E5:E27" xr:uid="{F35BFF97-1F76-4A14-B3AB-41D9DC41B0CD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2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BE065D-8BB6-46E3-8464-112DB53EEDB6}">
          <x14:formula1>
            <xm:f>ราคาขนส่ง!$B$3:$B$52</xm:f>
          </x14:formula1>
          <xm:sqref>B5:B27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273D-77B9-4F2D-A5BF-97273581A4EF}">
  <sheetPr>
    <tabColor theme="5" tint="0.39997558519241921"/>
  </sheetPr>
  <dimension ref="A1:D13"/>
  <sheetViews>
    <sheetView workbookViewId="0">
      <selection activeCell="A5" sqref="A5:D12"/>
    </sheetView>
  </sheetViews>
  <sheetFormatPr defaultColWidth="7.125" defaultRowHeight="21" x14ac:dyDescent="0.45"/>
  <cols>
    <col min="1" max="1" width="10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+'ผท-3888'!E2</f>
        <v>ผท-3888</v>
      </c>
      <c r="D2" s="61" t="str">
        <f>+'ผท-3888'!I2</f>
        <v>นายมาโนช ยนตะสุข</v>
      </c>
    </row>
    <row r="3" spans="1:4" ht="16.5" x14ac:dyDescent="0.35">
      <c r="A3" s="33"/>
    </row>
    <row r="4" spans="1:4" ht="26.25" x14ac:dyDescent="0.35">
      <c r="A4" s="301" t="s">
        <v>13</v>
      </c>
      <c r="B4" s="302" t="s">
        <v>98</v>
      </c>
      <c r="C4" s="302" t="s">
        <v>99</v>
      </c>
      <c r="D4" s="303" t="s">
        <v>100</v>
      </c>
    </row>
    <row r="5" spans="1:4" ht="41.25" customHeight="1" x14ac:dyDescent="0.55000000000000004">
      <c r="A5" s="77"/>
      <c r="B5" s="78"/>
      <c r="C5" s="79"/>
      <c r="D5" s="80"/>
    </row>
    <row r="6" spans="1:4" ht="41.25" customHeight="1" x14ac:dyDescent="0.55000000000000004">
      <c r="A6" s="77"/>
      <c r="B6" s="78"/>
      <c r="C6" s="79"/>
      <c r="D6" s="80"/>
    </row>
    <row r="7" spans="1:4" ht="41.25" customHeight="1" x14ac:dyDescent="0.55000000000000004">
      <c r="A7" s="77"/>
      <c r="B7" s="78"/>
      <c r="C7" s="79"/>
      <c r="D7" s="80"/>
    </row>
    <row r="8" spans="1:4" ht="41.25" customHeight="1" x14ac:dyDescent="0.55000000000000004">
      <c r="A8" s="77"/>
      <c r="B8" s="78"/>
      <c r="C8" s="79"/>
      <c r="D8" s="80"/>
    </row>
    <row r="9" spans="1:4" ht="41.25" customHeight="1" x14ac:dyDescent="0.55000000000000004">
      <c r="A9" s="77"/>
      <c r="B9" s="78"/>
      <c r="C9" s="79"/>
      <c r="D9" s="80"/>
    </row>
    <row r="10" spans="1:4" ht="41.25" customHeight="1" x14ac:dyDescent="0.55000000000000004">
      <c r="A10" s="77"/>
      <c r="B10" s="78"/>
      <c r="C10" s="79"/>
      <c r="D10" s="80"/>
    </row>
    <row r="11" spans="1:4" ht="41.25" customHeight="1" x14ac:dyDescent="0.55000000000000004">
      <c r="A11" s="77"/>
      <c r="B11" s="78"/>
      <c r="C11" s="79"/>
      <c r="D11" s="80"/>
    </row>
    <row r="12" spans="1:4" ht="41.25" customHeight="1" x14ac:dyDescent="0.55000000000000004">
      <c r="A12" s="77"/>
      <c r="B12" s="78"/>
      <c r="C12" s="79"/>
      <c r="D12" s="80"/>
    </row>
    <row r="13" spans="1:4" ht="39.75" customHeight="1" x14ac:dyDescent="0.55000000000000004">
      <c r="A13" s="304" t="s">
        <v>101</v>
      </c>
      <c r="B13" s="305"/>
      <c r="C13" s="305"/>
      <c r="D13" s="306">
        <f>SUBTOTAL(109,Table456782[เป็นจำนวนเงิน(บาท)])</f>
        <v>0</v>
      </c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AEE6-C488-4D3B-88A4-D39D7546293D}">
  <sheetPr>
    <tabColor theme="5" tint="0.39997558519241921"/>
  </sheetPr>
  <dimension ref="A1:K33"/>
  <sheetViews>
    <sheetView showWhiteSpace="0" topLeftCell="A10" zoomScaleNormal="100" workbookViewId="0">
      <selection activeCell="I23" sqref="I23"/>
    </sheetView>
  </sheetViews>
  <sheetFormatPr defaultColWidth="7.125" defaultRowHeight="21" x14ac:dyDescent="0.2"/>
  <cols>
    <col min="1" max="1" width="8.875" style="156" bestFit="1" customWidth="1"/>
    <col min="2" max="2" width="16" style="147" customWidth="1"/>
    <col min="3" max="3" width="10.875" style="147" bestFit="1" customWidth="1"/>
    <col min="4" max="4" width="7.875" style="147" customWidth="1"/>
    <col min="5" max="5" width="8.875" style="147" customWidth="1"/>
    <col min="6" max="7" width="6.625" style="147" customWidth="1"/>
    <col min="8" max="8" width="3.5" style="147" customWidth="1"/>
    <col min="9" max="9" width="7.125" style="147"/>
    <col min="10" max="11" width="9.5" style="147" customWidth="1"/>
    <col min="12" max="16384" width="7.125" style="147"/>
  </cols>
  <sheetData>
    <row r="1" spans="1:11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1" ht="23.25" x14ac:dyDescent="0.2">
      <c r="A2" s="376" t="str">
        <f>+รายการหัก!I1</f>
        <v>รอบวันที่ 1-15 พฤษภาคม 2569</v>
      </c>
      <c r="B2" s="376"/>
      <c r="C2" s="67"/>
      <c r="D2" s="60" t="s">
        <v>41</v>
      </c>
      <c r="E2" s="21" t="s">
        <v>147</v>
      </c>
      <c r="F2" s="53"/>
      <c r="G2" s="53"/>
      <c r="H2" s="13"/>
      <c r="I2" s="67" t="str">
        <f>VLOOKUP(E2,Table22[],2,0)</f>
        <v>นายธนโชติ แสงกำแพง</v>
      </c>
      <c r="J2" s="67"/>
    </row>
    <row r="3" spans="1:11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310" t="s">
        <v>123</v>
      </c>
      <c r="B4" s="311" t="s">
        <v>1</v>
      </c>
      <c r="C4" s="312" t="s">
        <v>124</v>
      </c>
      <c r="D4" s="313" t="s">
        <v>125</v>
      </c>
      <c r="E4" s="314" t="s">
        <v>37</v>
      </c>
      <c r="F4" s="315" t="s">
        <v>2</v>
      </c>
      <c r="G4" s="315" t="s">
        <v>3</v>
      </c>
      <c r="H4" s="316" t="s">
        <v>4</v>
      </c>
      <c r="I4" s="317" t="s">
        <v>5</v>
      </c>
      <c r="J4" s="318" t="s">
        <v>126</v>
      </c>
      <c r="K4" s="319" t="s">
        <v>6</v>
      </c>
    </row>
    <row r="5" spans="1:11" ht="17.25" customHeight="1" x14ac:dyDescent="0.2">
      <c r="A5" s="320">
        <v>46143</v>
      </c>
      <c r="B5" s="148" t="s">
        <v>26</v>
      </c>
      <c r="C5" s="110" t="s">
        <v>286</v>
      </c>
      <c r="D5" s="149">
        <v>134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1650</v>
      </c>
      <c r="G5" s="150">
        <f t="shared" ref="G5" si="0">IFERROR(IF(F5&gt;10,F5,F5*D5),"")</f>
        <v>1650</v>
      </c>
      <c r="H5" s="116"/>
      <c r="I5" s="111">
        <f t="shared" ref="I5:I19" si="1">IFERROR(SUM(G5+H5),"")</f>
        <v>1650</v>
      </c>
      <c r="J5" s="112">
        <f t="shared" ref="J5:J19" si="2">IFERROR(SUM(H5+I5),"")</f>
        <v>1650</v>
      </c>
      <c r="K5" s="309"/>
    </row>
    <row r="6" spans="1:11" ht="17.25" customHeight="1" x14ac:dyDescent="0.2">
      <c r="A6" s="320">
        <v>46144</v>
      </c>
      <c r="B6" s="148" t="s">
        <v>72</v>
      </c>
      <c r="C6" s="110" t="s">
        <v>288</v>
      </c>
      <c r="D6" s="149">
        <v>433</v>
      </c>
      <c r="E6" s="116" t="s">
        <v>14</v>
      </c>
      <c r="F6" s="150">
        <f t="array" ref="F6">IFERROR(INDEX(ราคาขนส่ง!$D$3:$D$102,MATCH(1,IF(ราคาขนส่ง!$B$3:$B$102=$B6,IF(ราคาขนส่ง!$C$3:$C$102=$E6,1)),0)),"")</f>
        <v>9.3000000000000007</v>
      </c>
      <c r="G6" s="150">
        <f t="shared" ref="G6:G19" si="3">IFERROR(IF(F6&gt;10,F6,F6*D6),"")</f>
        <v>4026.9</v>
      </c>
      <c r="H6" s="116"/>
      <c r="I6" s="111">
        <f t="shared" si="1"/>
        <v>4026.9</v>
      </c>
      <c r="J6" s="112">
        <f t="shared" si="2"/>
        <v>4026.9</v>
      </c>
      <c r="K6" s="309"/>
    </row>
    <row r="7" spans="1:11" s="370" customFormat="1" ht="17.25" customHeight="1" x14ac:dyDescent="0.2">
      <c r="A7" s="234">
        <v>46146</v>
      </c>
      <c r="B7" s="148" t="s">
        <v>72</v>
      </c>
      <c r="C7" s="110" t="s">
        <v>289</v>
      </c>
      <c r="D7" s="149">
        <v>194</v>
      </c>
      <c r="E7" s="116" t="s">
        <v>15</v>
      </c>
      <c r="F7" s="364" cm="1">
        <f t="array" ref="F7">IFERROR(INDEX(ราคาขนส่ง!$D$3:$D$102,MATCH(1,IF(ราคาขนส่ง!$B$3:$B$102=$B7,IF(ราคาขนส่ง!$C$3:$C$102=$E7,1)),0)),"")</f>
        <v>2500</v>
      </c>
      <c r="G7" s="364">
        <f>IFERROR(IF(F7&gt;10,F7,F7*D7),"")</f>
        <v>2500</v>
      </c>
      <c r="H7" s="236"/>
      <c r="I7" s="239">
        <f t="shared" ref="I7:J9" si="4">IFERROR(SUM(G7+H7),"")</f>
        <v>2500</v>
      </c>
      <c r="J7" s="240">
        <f t="shared" si="4"/>
        <v>2500</v>
      </c>
      <c r="K7" s="369"/>
    </row>
    <row r="8" spans="1:11" ht="17.25" customHeight="1" x14ac:dyDescent="0.2">
      <c r="A8" s="320">
        <v>46147</v>
      </c>
      <c r="B8" s="148" t="s">
        <v>72</v>
      </c>
      <c r="C8" s="110" t="s">
        <v>290</v>
      </c>
      <c r="D8" s="149">
        <v>190</v>
      </c>
      <c r="E8" s="116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2500</v>
      </c>
      <c r="G8" s="223">
        <f t="shared" ref="G8:G9" si="5">IFERROR(IF(F8&gt;10,F8,F8*D8),"")</f>
        <v>2500</v>
      </c>
      <c r="H8" s="149"/>
      <c r="I8" s="111">
        <f t="shared" si="4"/>
        <v>2500</v>
      </c>
      <c r="J8" s="112">
        <f t="shared" si="4"/>
        <v>2500</v>
      </c>
      <c r="K8" s="309"/>
    </row>
    <row r="9" spans="1:11" ht="17.25" customHeight="1" x14ac:dyDescent="0.2">
      <c r="A9" s="109">
        <v>46148</v>
      </c>
      <c r="B9" s="148" t="s">
        <v>30</v>
      </c>
      <c r="C9" s="110" t="s">
        <v>292</v>
      </c>
      <c r="D9" s="149">
        <v>146</v>
      </c>
      <c r="E9" s="116" t="s">
        <v>15</v>
      </c>
      <c r="F9" s="223" cm="1">
        <f t="array" ref="F9">IFERROR(INDEX(ราคาขนส่ง!$D$3:$D$102,MATCH(1,IF(ราคาขนส่ง!$B$3:$B$102=$B9,IF(ราคาขนส่ง!$C$3:$C$102=$E9,1)),0)),"")</f>
        <v>1350</v>
      </c>
      <c r="G9" s="223">
        <f t="shared" si="5"/>
        <v>1350</v>
      </c>
      <c r="H9" s="149"/>
      <c r="I9" s="111">
        <f t="shared" si="4"/>
        <v>1350</v>
      </c>
      <c r="J9" s="112">
        <f t="shared" si="4"/>
        <v>1350</v>
      </c>
      <c r="K9" s="307"/>
    </row>
    <row r="10" spans="1:11" ht="17.25" customHeight="1" x14ac:dyDescent="0.2">
      <c r="A10" s="109">
        <v>46149</v>
      </c>
      <c r="B10" s="148" t="s">
        <v>72</v>
      </c>
      <c r="C10" s="110" t="s">
        <v>293</v>
      </c>
      <c r="D10" s="149">
        <v>217</v>
      </c>
      <c r="E10" s="116" t="s">
        <v>15</v>
      </c>
      <c r="F10" s="223" cm="1">
        <f t="array" ref="F10">IFERROR(INDEX(ราคาขนส่ง!$D$3:$D$102,MATCH(1,IF(ราคาขนส่ง!$B$3:$B$102=$B10,IF(ราคาขนส่ง!$C$3:$C$102=$E10,1)),0)),"")</f>
        <v>2500</v>
      </c>
      <c r="G10" s="223">
        <f t="shared" ref="G10:G18" si="6">IFERROR(IF(F10&gt;10,F10,F10*D10),"")</f>
        <v>2500</v>
      </c>
      <c r="H10" s="149"/>
      <c r="I10" s="111">
        <f t="shared" ref="I10:I18" si="7">IFERROR(SUM(G10+H10),"")</f>
        <v>2500</v>
      </c>
      <c r="J10" s="112">
        <f t="shared" ref="J10:J18" si="8">IFERROR(SUM(H10+I10),"")</f>
        <v>2500</v>
      </c>
      <c r="K10" s="307"/>
    </row>
    <row r="11" spans="1:11" ht="17.25" customHeight="1" x14ac:dyDescent="0.2">
      <c r="A11" s="109">
        <v>46150</v>
      </c>
      <c r="B11" s="148" t="s">
        <v>72</v>
      </c>
      <c r="C11" s="110" t="s">
        <v>295</v>
      </c>
      <c r="D11" s="149">
        <v>193</v>
      </c>
      <c r="E11" s="116" t="s">
        <v>15</v>
      </c>
      <c r="F11" s="223" cm="1">
        <f t="array" ref="F11">IFERROR(INDEX(ราคาขนส่ง!$D$3:$D$102,MATCH(1,IF(ราคาขนส่ง!$B$3:$B$102=$B11,IF(ราคาขนส่ง!$C$3:$C$102=$E11,1)),0)),"")</f>
        <v>2500</v>
      </c>
      <c r="G11" s="223">
        <f t="shared" si="6"/>
        <v>2500</v>
      </c>
      <c r="H11" s="149"/>
      <c r="I11" s="111">
        <f t="shared" si="7"/>
        <v>2500</v>
      </c>
      <c r="J11" s="112">
        <f t="shared" si="8"/>
        <v>2500</v>
      </c>
      <c r="K11" s="307"/>
    </row>
    <row r="12" spans="1:11" ht="17.25" customHeight="1" x14ac:dyDescent="0.2">
      <c r="A12" s="109">
        <v>46150</v>
      </c>
      <c r="B12" s="148" t="s">
        <v>44</v>
      </c>
      <c r="C12" s="110" t="s">
        <v>296</v>
      </c>
      <c r="D12" s="149">
        <v>273</v>
      </c>
      <c r="E12" s="116" t="s">
        <v>14</v>
      </c>
      <c r="F12" s="223" cm="1">
        <f t="array" ref="F12">IFERROR(INDEX(ราคาขนส่ง!$D$3:$D$102,MATCH(1,IF(ราคาขนส่ง!$B$3:$B$102=$B12,IF(ราคาขนส่ง!$C$3:$C$102=$E12,1)),0)),"")</f>
        <v>3</v>
      </c>
      <c r="G12" s="223">
        <f t="shared" si="6"/>
        <v>819</v>
      </c>
      <c r="H12" s="149"/>
      <c r="I12" s="111">
        <f t="shared" si="7"/>
        <v>819</v>
      </c>
      <c r="J12" s="112">
        <f t="shared" si="8"/>
        <v>819</v>
      </c>
      <c r="K12" s="307"/>
    </row>
    <row r="13" spans="1:11" ht="17.25" customHeight="1" x14ac:dyDescent="0.2">
      <c r="A13" s="109">
        <v>46151</v>
      </c>
      <c r="B13" s="148" t="s">
        <v>34</v>
      </c>
      <c r="C13" s="110" t="s">
        <v>298</v>
      </c>
      <c r="D13" s="149">
        <v>150</v>
      </c>
      <c r="E13" s="116" t="s">
        <v>15</v>
      </c>
      <c r="F13" s="355" cm="1">
        <f t="array" ref="F13">IFERROR(INDEX(ราคาขนส่ง!$D$3:$D$102,MATCH(1,IF(ราคาขนส่ง!$B$3:$B$102=$B13,IF(ราคาขนส่ง!$C$3:$C$102=$E13,1)),0)),"")</f>
        <v>1650</v>
      </c>
      <c r="G13" s="355">
        <f>IFERROR(IF(F13&gt;10,F13,F13*D13),"")</f>
        <v>1650</v>
      </c>
      <c r="H13" s="149"/>
      <c r="I13" s="111">
        <f>IFERROR(SUM(G13+H13),"")</f>
        <v>1650</v>
      </c>
      <c r="J13" s="112">
        <f>IFERROR(SUM(H13+I13),"")</f>
        <v>1650</v>
      </c>
      <c r="K13" s="362"/>
    </row>
    <row r="14" spans="1:11" ht="17.25" customHeight="1" x14ac:dyDescent="0.2">
      <c r="A14" s="386">
        <v>46153</v>
      </c>
      <c r="B14" s="387" t="s">
        <v>44</v>
      </c>
      <c r="C14" s="388" t="s">
        <v>269</v>
      </c>
      <c r="D14" s="389">
        <v>110</v>
      </c>
      <c r="E14" s="390" t="s">
        <v>14</v>
      </c>
      <c r="F14" s="391" cm="1">
        <f t="array" ref="F14">IFERROR(INDEX(ราคาขนส่ง!$D$3:$D$102,MATCH(1,IF(ราคาขนส่ง!$B$3:$B$102=$B14,IF(ราคาขนส่ง!$C$3:$C$102=$E14,1)),0)),"")</f>
        <v>3</v>
      </c>
      <c r="G14" s="391">
        <f>IFERROR(IF(F14&gt;10,F14,F14*D14),"")</f>
        <v>330</v>
      </c>
      <c r="H14" s="389"/>
      <c r="I14" s="392">
        <f>IFERROR(SUM(G14+H14),"")</f>
        <v>330</v>
      </c>
      <c r="J14" s="393">
        <f>IFERROR(SUM(H14+I14),"")</f>
        <v>330</v>
      </c>
      <c r="K14" s="358"/>
    </row>
    <row r="15" spans="1:11" ht="17.25" customHeight="1" x14ac:dyDescent="0.2">
      <c r="A15" s="109">
        <v>46154</v>
      </c>
      <c r="B15" s="148" t="s">
        <v>72</v>
      </c>
      <c r="C15" s="110" t="s">
        <v>284</v>
      </c>
      <c r="D15" s="149">
        <v>162</v>
      </c>
      <c r="E15" s="237" t="s">
        <v>15</v>
      </c>
      <c r="F15" s="223" cm="1">
        <f t="array" ref="F15">IFERROR(INDEX(ราคาขนส่ง!$D$3:$D$102,MATCH(1,IF(ราคาขนส่ง!$B$3:$B$102=$B15,IF(ราคาขนส่ง!$C$3:$C$102=$E15,1)),0)),"")</f>
        <v>2500</v>
      </c>
      <c r="G15" s="223">
        <f t="shared" si="6"/>
        <v>2500</v>
      </c>
      <c r="H15" s="149"/>
      <c r="I15" s="111">
        <f t="shared" si="7"/>
        <v>2500</v>
      </c>
      <c r="J15" s="112">
        <f t="shared" si="8"/>
        <v>2500</v>
      </c>
      <c r="K15" s="307"/>
    </row>
    <row r="16" spans="1:11" ht="17.25" customHeight="1" x14ac:dyDescent="0.2">
      <c r="A16" s="109">
        <v>46155</v>
      </c>
      <c r="B16" s="148" t="s">
        <v>56</v>
      </c>
      <c r="C16" s="110" t="s">
        <v>299</v>
      </c>
      <c r="D16" s="149">
        <v>177</v>
      </c>
      <c r="E16" s="116" t="s">
        <v>15</v>
      </c>
      <c r="F16" s="223" cm="1">
        <f t="array" ref="F16">IFERROR(INDEX(ราคาขนส่ง!$D$3:$D$102,MATCH(1,IF(ราคาขนส่ง!$B$3:$B$102=$B16,IF(ราคาขนส่ง!$C$3:$C$102=$E16,1)),0)),"")</f>
        <v>1300</v>
      </c>
      <c r="G16" s="223">
        <f t="shared" si="6"/>
        <v>1300</v>
      </c>
      <c r="H16" s="149"/>
      <c r="I16" s="111">
        <f t="shared" si="7"/>
        <v>1300</v>
      </c>
      <c r="J16" s="112">
        <f t="shared" si="8"/>
        <v>1300</v>
      </c>
      <c r="K16" s="108"/>
    </row>
    <row r="17" spans="1:11" ht="17.25" customHeight="1" x14ac:dyDescent="0.2">
      <c r="A17" s="109">
        <v>46156</v>
      </c>
      <c r="B17" s="148" t="s">
        <v>72</v>
      </c>
      <c r="C17" s="110" t="s">
        <v>301</v>
      </c>
      <c r="D17" s="149">
        <v>166</v>
      </c>
      <c r="E17" s="116" t="s">
        <v>15</v>
      </c>
      <c r="F17" s="355" cm="1">
        <f t="array" ref="F17">IFERROR(INDEX(ราคาขนส่ง!$D$3:$D$102,MATCH(1,IF(ราคาขนส่ง!$B$3:$B$102=$B17,IF(ราคาขนส่ง!$C$3:$C$102=$E17,1)),0)),"")</f>
        <v>2500</v>
      </c>
      <c r="G17" s="355">
        <f>IFERROR(IF(F17&gt;10,F17,F17*D17),"")</f>
        <v>2500</v>
      </c>
      <c r="H17" s="149"/>
      <c r="I17" s="111">
        <f>IFERROR(SUM(G17+H17),"")</f>
        <v>2500</v>
      </c>
      <c r="J17" s="112">
        <f>IFERROR(SUM(H17+I17),"")</f>
        <v>2500</v>
      </c>
      <c r="K17" s="362"/>
    </row>
    <row r="18" spans="1:11" ht="17.25" customHeight="1" x14ac:dyDescent="0.2">
      <c r="A18" s="109">
        <v>46157</v>
      </c>
      <c r="B18" s="148" t="s">
        <v>72</v>
      </c>
      <c r="C18" s="110" t="s">
        <v>303</v>
      </c>
      <c r="D18" s="149">
        <v>139</v>
      </c>
      <c r="E18" s="116" t="s">
        <v>15</v>
      </c>
      <c r="F18" s="223" cm="1">
        <f t="array" ref="F18">IFERROR(INDEX(ราคาขนส่ง!$D$3:$D$102,MATCH(1,IF(ราคาขนส่ง!$B$3:$B$102=$B18,IF(ราคาขนส่ง!$C$3:$C$102=$E18,1)),0)),"")</f>
        <v>2500</v>
      </c>
      <c r="G18" s="223">
        <f t="shared" si="6"/>
        <v>2500</v>
      </c>
      <c r="H18" s="149"/>
      <c r="I18" s="111">
        <f t="shared" si="7"/>
        <v>2500</v>
      </c>
      <c r="J18" s="112">
        <f t="shared" si="8"/>
        <v>2500</v>
      </c>
      <c r="K18" s="307"/>
    </row>
    <row r="19" spans="1:11" ht="17.100000000000001" customHeight="1" x14ac:dyDescent="0.2">
      <c r="A19" s="109"/>
      <c r="B19" s="148"/>
      <c r="C19" s="224"/>
      <c r="D19" s="149"/>
      <c r="E19" s="116" t="s">
        <v>14</v>
      </c>
      <c r="F19" s="150" t="str">
        <f t="array" ref="F19">IFERROR(INDEX(ราคาขนส่ง!$D$3:$D$102,MATCH(1,IF(ราคาขนส่ง!$B$3:$B$102=$B19,IF(ราคาขนส่ง!$C$3:$C$102=$E19,1)),0)),"")</f>
        <v/>
      </c>
      <c r="G19" s="150" t="str">
        <f t="shared" si="3"/>
        <v/>
      </c>
      <c r="H19" s="116"/>
      <c r="I19" s="111" t="str">
        <f t="shared" si="1"/>
        <v/>
      </c>
      <c r="J19" s="308" t="str">
        <f t="shared" si="2"/>
        <v/>
      </c>
      <c r="K19" s="307"/>
    </row>
    <row r="20" spans="1:11" ht="23.25" x14ac:dyDescent="0.2">
      <c r="A20" s="22"/>
      <c r="B20" s="24" t="s">
        <v>7</v>
      </c>
      <c r="C20" s="17"/>
      <c r="D20" s="24">
        <f>SUM(D5:D19)</f>
        <v>2684</v>
      </c>
      <c r="E20" s="24"/>
      <c r="F20" s="25"/>
      <c r="G20" s="55"/>
      <c r="I20" s="64">
        <f>SUM(I5:I19)</f>
        <v>28625.9</v>
      </c>
      <c r="J20" s="65">
        <f>SUM(J5:J19)</f>
        <v>28625.9</v>
      </c>
      <c r="K20" s="56"/>
    </row>
    <row r="21" spans="1:11" ht="23.25" x14ac:dyDescent="0.2">
      <c r="A21" s="26" t="s">
        <v>8</v>
      </c>
      <c r="B21" s="11"/>
      <c r="C21" s="57"/>
      <c r="D21" s="10"/>
      <c r="E21" s="10"/>
      <c r="F21" s="11"/>
      <c r="G21" s="19"/>
      <c r="H21" s="20"/>
      <c r="I21" s="58"/>
      <c r="J21" s="58"/>
      <c r="K21" s="59"/>
    </row>
    <row r="22" spans="1:11" ht="23.25" x14ac:dyDescent="0.2">
      <c r="A22" s="12"/>
      <c r="B22" s="171" t="s">
        <v>9</v>
      </c>
      <c r="C22" s="172">
        <f>J20</f>
        <v>28625.9</v>
      </c>
      <c r="D22" s="171" t="s">
        <v>10</v>
      </c>
      <c r="E22" s="171"/>
      <c r="F22" s="27"/>
      <c r="G22" s="19"/>
      <c r="H22" s="20"/>
      <c r="I22" s="58"/>
      <c r="J22" s="58"/>
      <c r="K22" s="59"/>
    </row>
    <row r="23" spans="1:11" ht="23.25" x14ac:dyDescent="0.2">
      <c r="A23" s="12"/>
      <c r="B23" s="171" t="s">
        <v>11</v>
      </c>
      <c r="C23" s="173">
        <f>SUM(C22/100)</f>
        <v>286.25900000000001</v>
      </c>
      <c r="D23" s="171" t="s">
        <v>10</v>
      </c>
      <c r="E23" s="171"/>
      <c r="F23" s="27"/>
      <c r="G23" s="19"/>
      <c r="H23" s="20"/>
      <c r="I23" s="58"/>
      <c r="J23" s="58"/>
      <c r="K23" s="59"/>
    </row>
    <row r="24" spans="1:11" ht="23.25" x14ac:dyDescent="0.2">
      <c r="A24" s="12"/>
      <c r="B24" s="174" t="s">
        <v>74</v>
      </c>
      <c r="C24" s="175">
        <f>+Table45678[[#Totals],[เป็นจำนวนเงิน(บาท)]]</f>
        <v>12500</v>
      </c>
      <c r="D24" s="174" t="s">
        <v>10</v>
      </c>
      <c r="E24" s="176"/>
      <c r="F24" s="28"/>
      <c r="G24" s="19"/>
      <c r="H24" s="20"/>
      <c r="I24" s="58"/>
      <c r="J24" s="58"/>
      <c r="K24" s="59"/>
    </row>
    <row r="25" spans="1:11" ht="23.25" x14ac:dyDescent="0.2">
      <c r="A25" s="12"/>
      <c r="B25" s="177" t="str">
        <f>+รายการหัก!C2</f>
        <v>ค่าอัพเดทบิล</v>
      </c>
      <c r="C25" s="178">
        <f>+รายการหัก!C6</f>
        <v>0</v>
      </c>
      <c r="D25" s="177" t="s">
        <v>10</v>
      </c>
      <c r="E25" s="176"/>
      <c r="F25" s="28"/>
      <c r="G25" s="19"/>
      <c r="H25" s="20"/>
      <c r="I25" s="58"/>
      <c r="J25" s="58"/>
      <c r="K25" s="59"/>
    </row>
    <row r="26" spans="1:11" ht="23.25" x14ac:dyDescent="0.2">
      <c r="A26" s="12"/>
      <c r="B26" s="179" t="str">
        <f>+รายการหัก!D2</f>
        <v>หักค่าโทรศัพท์</v>
      </c>
      <c r="C26" s="180">
        <f>+รายการหัก!D6</f>
        <v>0</v>
      </c>
      <c r="D26" s="179" t="s">
        <v>10</v>
      </c>
      <c r="E26" s="181"/>
      <c r="F26" s="11"/>
      <c r="G26" s="19"/>
      <c r="H26" s="20"/>
      <c r="I26" s="58"/>
      <c r="J26" s="58"/>
      <c r="K26" s="59"/>
    </row>
    <row r="27" spans="1:11" ht="23.25" x14ac:dyDescent="0.2">
      <c r="A27" s="12"/>
      <c r="B27" s="182" t="str">
        <f>+รายการหัก!E2</f>
        <v>หักค่าGPS</v>
      </c>
      <c r="C27" s="163">
        <f>+รายการหัก!E6</f>
        <v>0</v>
      </c>
      <c r="D27" s="182" t="s">
        <v>10</v>
      </c>
      <c r="E27" s="163">
        <f>+รายการหัก!F6</f>
        <v>0</v>
      </c>
      <c r="F27" s="11"/>
      <c r="G27" s="19"/>
      <c r="H27" s="20"/>
      <c r="I27" s="58"/>
      <c r="J27" s="58"/>
      <c r="K27" s="59"/>
    </row>
    <row r="28" spans="1:11" ht="23.25" x14ac:dyDescent="0.2">
      <c r="A28" s="12"/>
      <c r="B28" s="183" t="str">
        <f>+รายการหัก!G2</f>
        <v>หักค่ายืมเงิน</v>
      </c>
      <c r="C28" s="164">
        <f>+รายการหัก!G6</f>
        <v>0</v>
      </c>
      <c r="D28" s="183" t="s">
        <v>10</v>
      </c>
      <c r="E28" s="164">
        <f>+รายการหัก!H6</f>
        <v>0</v>
      </c>
      <c r="F28" s="11"/>
      <c r="G28" s="19"/>
      <c r="H28" s="20"/>
      <c r="I28" s="58"/>
      <c r="J28" s="58"/>
      <c r="K28" s="59"/>
    </row>
    <row r="29" spans="1:11" ht="23.25" x14ac:dyDescent="0.2">
      <c r="A29" s="12"/>
      <c r="B29" s="184" t="str">
        <f>+รายการหัก!I2</f>
        <v>หักค่าสัญญาณGPS รายปี</v>
      </c>
      <c r="C29" s="165">
        <f>+รายการหัก!I6</f>
        <v>0</v>
      </c>
      <c r="D29" s="185" t="s">
        <v>10</v>
      </c>
      <c r="E29" s="165">
        <f>+รายการหัก!J6</f>
        <v>0</v>
      </c>
      <c r="F29" s="29"/>
      <c r="G29" s="19"/>
      <c r="H29" s="20"/>
      <c r="I29" s="58"/>
      <c r="J29" s="58"/>
      <c r="K29" s="59"/>
    </row>
    <row r="30" spans="1:11" ht="23.25" x14ac:dyDescent="0.2">
      <c r="A30" s="12"/>
      <c r="B30" s="186" t="str">
        <f>+รายการหัก!K2</f>
        <v>หักค่าประกัน</v>
      </c>
      <c r="C30" s="166">
        <f>+รายการหัก!K6</f>
        <v>0</v>
      </c>
      <c r="D30" s="187" t="s">
        <v>10</v>
      </c>
      <c r="E30" s="166">
        <f>+รายการหัก!L6</f>
        <v>0</v>
      </c>
      <c r="F30" s="29"/>
      <c r="G30" s="19"/>
      <c r="H30" s="20"/>
      <c r="I30" s="58"/>
      <c r="J30" s="58"/>
      <c r="K30" s="59"/>
    </row>
    <row r="31" spans="1:11" ht="23.25" x14ac:dyDescent="0.2">
      <c r="A31" s="23"/>
      <c r="B31" s="188" t="s">
        <v>12</v>
      </c>
      <c r="C31" s="189">
        <f>SUM(C22-C23-C24+C25-C26-C27-C28-C29-C30)</f>
        <v>15839.641000000003</v>
      </c>
      <c r="D31" s="188" t="s">
        <v>10</v>
      </c>
      <c r="E31" s="190"/>
      <c r="F31" s="30"/>
    </row>
    <row r="32" spans="1:11" ht="26.25" x14ac:dyDescent="0.2">
      <c r="B32" s="378"/>
      <c r="C32" s="378"/>
    </row>
    <row r="33" spans="2:2" ht="23.25" x14ac:dyDescent="0.2">
      <c r="B33" s="222" t="s">
        <v>137</v>
      </c>
    </row>
  </sheetData>
  <mergeCells count="4">
    <mergeCell ref="A1:K1"/>
    <mergeCell ref="A2:B2"/>
    <mergeCell ref="A3:B3"/>
    <mergeCell ref="B32:C32"/>
  </mergeCells>
  <phoneticPr fontId="63" type="noConversion"/>
  <dataValidations count="1">
    <dataValidation type="list" allowBlank="1" showInputMessage="1" showErrorMessage="1" sqref="E5:E19" xr:uid="{C892F3C4-A4D4-41F8-9B99-E0F160F33913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88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EC400B-85BD-4E15-B610-610C730E010C}">
          <x14:formula1>
            <xm:f>ราคาขนส่ง!$B$3:$B$52</xm:f>
          </x14:formula1>
          <xm:sqref>B5:B19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ACC1-1B1D-4A09-8196-73706F60B45D}">
  <sheetPr>
    <tabColor theme="5" tint="0.39997558519241921"/>
  </sheetPr>
  <dimension ref="A1:D15"/>
  <sheetViews>
    <sheetView zoomScaleNormal="100" workbookViewId="0">
      <selection activeCell="C17" sqref="C17"/>
    </sheetView>
  </sheetViews>
  <sheetFormatPr defaultColWidth="7.125" defaultRowHeight="21" x14ac:dyDescent="0.45"/>
  <cols>
    <col min="1" max="1" width="10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+'ผท-6937'!E2</f>
        <v>ผท-6937</v>
      </c>
      <c r="D2" s="61" t="str">
        <f>+'ผท-6937'!I2</f>
        <v>นายธนโชติ แสงกำแพง</v>
      </c>
    </row>
    <row r="3" spans="1:4" ht="16.5" x14ac:dyDescent="0.35">
      <c r="A3" s="33"/>
    </row>
    <row r="4" spans="1:4" ht="26.25" x14ac:dyDescent="0.35">
      <c r="A4" s="301" t="s">
        <v>13</v>
      </c>
      <c r="B4" s="302" t="s">
        <v>98</v>
      </c>
      <c r="C4" s="302" t="s">
        <v>99</v>
      </c>
      <c r="D4" s="303" t="s">
        <v>100</v>
      </c>
    </row>
    <row r="5" spans="1:4" ht="41.25" customHeight="1" x14ac:dyDescent="0.55000000000000004">
      <c r="A5" s="77">
        <v>1</v>
      </c>
      <c r="B5" s="78">
        <v>46143</v>
      </c>
      <c r="C5" s="79" t="s">
        <v>218</v>
      </c>
      <c r="D5" s="80">
        <v>1500</v>
      </c>
    </row>
    <row r="6" spans="1:4" ht="41.25" customHeight="1" x14ac:dyDescent="0.55000000000000004">
      <c r="A6" s="77">
        <v>2</v>
      </c>
      <c r="B6" s="78">
        <v>46146</v>
      </c>
      <c r="C6" s="79" t="s">
        <v>219</v>
      </c>
      <c r="D6" s="80">
        <v>1500</v>
      </c>
    </row>
    <row r="7" spans="1:4" ht="41.25" customHeight="1" x14ac:dyDescent="0.55000000000000004">
      <c r="A7" s="77">
        <v>3</v>
      </c>
      <c r="B7" s="78">
        <v>46147</v>
      </c>
      <c r="C7" s="79" t="s">
        <v>220</v>
      </c>
      <c r="D7" s="80">
        <v>1000</v>
      </c>
    </row>
    <row r="8" spans="1:4" ht="41.25" customHeight="1" x14ac:dyDescent="0.55000000000000004">
      <c r="A8" s="77">
        <v>4</v>
      </c>
      <c r="B8" s="78">
        <v>46148</v>
      </c>
      <c r="C8" s="79" t="s">
        <v>221</v>
      </c>
      <c r="D8" s="80">
        <v>1500</v>
      </c>
    </row>
    <row r="9" spans="1:4" ht="41.25" customHeight="1" x14ac:dyDescent="0.55000000000000004">
      <c r="A9" s="77">
        <v>5</v>
      </c>
      <c r="B9" s="78">
        <v>46150</v>
      </c>
      <c r="C9" s="79" t="s">
        <v>222</v>
      </c>
      <c r="D9" s="80">
        <v>1000</v>
      </c>
    </row>
    <row r="10" spans="1:4" ht="41.25" customHeight="1" x14ac:dyDescent="0.55000000000000004">
      <c r="A10" s="77">
        <v>6</v>
      </c>
      <c r="B10" s="78">
        <v>46151</v>
      </c>
      <c r="C10" s="79" t="s">
        <v>223</v>
      </c>
      <c r="D10" s="80">
        <v>1000</v>
      </c>
    </row>
    <row r="11" spans="1:4" ht="41.25" customHeight="1" x14ac:dyDescent="0.55000000000000004">
      <c r="A11" s="77">
        <v>7</v>
      </c>
      <c r="B11" s="78">
        <v>46153</v>
      </c>
      <c r="C11" s="79" t="s">
        <v>224</v>
      </c>
      <c r="D11" s="80">
        <v>1000</v>
      </c>
    </row>
    <row r="12" spans="1:4" ht="41.25" customHeight="1" x14ac:dyDescent="0.55000000000000004">
      <c r="A12" s="77">
        <v>8</v>
      </c>
      <c r="B12" s="78">
        <v>46154</v>
      </c>
      <c r="C12" s="79" t="s">
        <v>225</v>
      </c>
      <c r="D12" s="80">
        <v>1000</v>
      </c>
    </row>
    <row r="13" spans="1:4" ht="41.25" customHeight="1" x14ac:dyDescent="0.55000000000000004">
      <c r="A13" s="77">
        <v>9</v>
      </c>
      <c r="B13" s="360">
        <v>46155</v>
      </c>
      <c r="C13" s="361" t="s">
        <v>226</v>
      </c>
      <c r="D13" s="80">
        <v>1000</v>
      </c>
    </row>
    <row r="14" spans="1:4" ht="41.25" customHeight="1" x14ac:dyDescent="0.55000000000000004">
      <c r="A14" s="359">
        <v>10</v>
      </c>
      <c r="B14" s="360">
        <v>46156</v>
      </c>
      <c r="C14" s="361" t="s">
        <v>227</v>
      </c>
      <c r="D14" s="80">
        <v>2000</v>
      </c>
    </row>
    <row r="15" spans="1:4" ht="39.75" customHeight="1" x14ac:dyDescent="0.55000000000000004">
      <c r="A15" s="304" t="s">
        <v>101</v>
      </c>
      <c r="B15" s="305"/>
      <c r="C15" s="305"/>
      <c r="D15" s="306">
        <f>SUBTOTAL(109,Table45678[เป็นจำนวนเงิน(บาท)])</f>
        <v>12500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C47B-DED9-41B8-9D81-48AF66BCD36B}">
  <sheetPr>
    <tabColor theme="5" tint="0.39997558519241921"/>
  </sheetPr>
  <dimension ref="A1:O31"/>
  <sheetViews>
    <sheetView showWhiteSpace="0" zoomScaleNormal="100" workbookViewId="0">
      <selection activeCell="O5" sqref="O5"/>
    </sheetView>
  </sheetViews>
  <sheetFormatPr defaultColWidth="7.125" defaultRowHeight="21" x14ac:dyDescent="0.2"/>
  <cols>
    <col min="1" max="1" width="8.875" style="157" bestFit="1" customWidth="1"/>
    <col min="2" max="2" width="15.875" style="68" customWidth="1"/>
    <col min="3" max="3" width="10.875" style="68" bestFit="1" customWidth="1"/>
    <col min="4" max="5" width="8.75" style="68" customWidth="1"/>
    <col min="6" max="7" width="6.625" style="68" customWidth="1"/>
    <col min="8" max="8" width="3.5" style="68" customWidth="1"/>
    <col min="9" max="9" width="7.125" style="68"/>
    <col min="10" max="10" width="9.375" style="68" customWidth="1"/>
    <col min="11" max="11" width="7" style="68" customWidth="1"/>
    <col min="12" max="16384" width="7.125" style="68"/>
  </cols>
  <sheetData>
    <row r="1" spans="1:15" ht="26.25" x14ac:dyDescent="0.2">
      <c r="A1" s="375" t="s">
        <v>143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5" ht="23.25" x14ac:dyDescent="0.2">
      <c r="A2" s="381" t="str">
        <f>+รายการหัก!I1</f>
        <v>รอบวันที่ 1-15 พฤษภาคม 2569</v>
      </c>
      <c r="B2" s="381"/>
      <c r="C2" s="62"/>
      <c r="D2" s="60" t="s">
        <v>41</v>
      </c>
      <c r="E2" s="21" t="s">
        <v>138</v>
      </c>
      <c r="F2" s="53"/>
      <c r="G2" s="53"/>
      <c r="H2" s="13"/>
      <c r="I2" s="61" t="str">
        <f>VLOOKUP(E2,Table22[],2,0)</f>
        <v>นายภักดี วัฒนพรหม</v>
      </c>
      <c r="J2" s="61"/>
    </row>
    <row r="3" spans="1:15" ht="18" x14ac:dyDescent="0.2">
      <c r="A3" s="377" t="str">
        <f>+รายการหัก!B1</f>
        <v>เงินออกรอบ 5</v>
      </c>
      <c r="B3" s="377"/>
      <c r="C3" s="41"/>
      <c r="D3" s="42"/>
      <c r="E3" s="42"/>
      <c r="F3" s="42"/>
      <c r="G3" s="42"/>
      <c r="H3" s="40"/>
      <c r="I3" s="43"/>
      <c r="J3" s="43"/>
      <c r="K3" s="44"/>
    </row>
    <row r="4" spans="1:15" ht="30.75" customHeight="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5" ht="25.5" customHeight="1" x14ac:dyDescent="0.2">
      <c r="A5" s="394">
        <v>46146</v>
      </c>
      <c r="B5" s="387" t="s">
        <v>44</v>
      </c>
      <c r="C5" s="388" t="s">
        <v>336</v>
      </c>
      <c r="D5" s="389">
        <v>150</v>
      </c>
      <c r="E5" s="390" t="s">
        <v>14</v>
      </c>
      <c r="F5" s="395">
        <f t="array" ref="F5">IFERROR(INDEX(ราคาขนส่ง!$D$3:$D$102,MATCH(1,IF(ราคาขนส่ง!$B$3:$B$102=$B5,IF(ราคาขนส่ง!$C$3:$C$102=$E5,1)),0)),"")</f>
        <v>3</v>
      </c>
      <c r="G5" s="395">
        <f t="shared" ref="G5" si="0">IFERROR(IF(F5&gt;10,F5,F5*D5),"")</f>
        <v>450</v>
      </c>
      <c r="H5" s="390"/>
      <c r="I5" s="392">
        <f t="shared" ref="I5:I16" si="1">IFERROR(SUM(G5+H5),"")</f>
        <v>450</v>
      </c>
      <c r="J5" s="393">
        <f t="shared" ref="J5:J16" si="2">IFERROR(SUM(H5+I5),"")</f>
        <v>450</v>
      </c>
      <c r="K5" s="319"/>
      <c r="O5" s="68" t="s">
        <v>366</v>
      </c>
    </row>
    <row r="6" spans="1:15" ht="25.5" customHeight="1" x14ac:dyDescent="0.2">
      <c r="A6" s="350">
        <v>46146</v>
      </c>
      <c r="B6" s="235" t="s">
        <v>44</v>
      </c>
      <c r="C6" s="249" t="s">
        <v>309</v>
      </c>
      <c r="D6" s="236">
        <v>248</v>
      </c>
      <c r="E6" s="237" t="s">
        <v>14</v>
      </c>
      <c r="F6" s="241">
        <f t="array" ref="F6">IFERROR(INDEX(ราคาขนส่ง!$D$3:$D$102,MATCH(1,IF(ราคาขนส่ง!$B$3:$B$102=$B6,IF(ราคาขนส่ง!$C$3:$C$102=$E6,1)),0)),"")</f>
        <v>3</v>
      </c>
      <c r="G6" s="241">
        <f t="shared" ref="G6" si="3">IFERROR(IF(F6&gt;10,F6,F6*D6),"")</f>
        <v>744</v>
      </c>
      <c r="H6" s="237"/>
      <c r="I6" s="239">
        <f t="shared" ref="I6" si="4">IFERROR(SUM(G6+H6),"")</f>
        <v>744</v>
      </c>
      <c r="J6" s="240">
        <f t="shared" ref="J6" si="5">IFERROR(SUM(H6+I6),"")</f>
        <v>744</v>
      </c>
      <c r="K6" s="269"/>
    </row>
    <row r="7" spans="1:15" ht="25.5" customHeight="1" x14ac:dyDescent="0.2">
      <c r="A7" s="320">
        <v>46147</v>
      </c>
      <c r="B7" s="235" t="s">
        <v>55</v>
      </c>
      <c r="C7" s="249" t="s">
        <v>265</v>
      </c>
      <c r="D7" s="236">
        <v>146</v>
      </c>
      <c r="E7" s="237" t="s">
        <v>15</v>
      </c>
      <c r="F7" s="355" cm="1">
        <f t="array" ref="F7">IFERROR(INDEX(ราคาขนส่ง!$D$3:$D$102,MATCH(1,IF(ราคาขนส่ง!$B$3:$B$102=$B7,IF(ราคาขนส่ง!$C$3:$C$102=$E7,1)),0)),"")</f>
        <v>1300</v>
      </c>
      <c r="G7" s="355">
        <f t="shared" ref="G7:G10" si="6">IFERROR(IF(F7&gt;10,F7,F7*D7),"")</f>
        <v>1300</v>
      </c>
      <c r="H7" s="149"/>
      <c r="I7" s="111">
        <f t="shared" ref="I7:I10" si="7">IFERROR(SUM(G7+H7),"")</f>
        <v>1300</v>
      </c>
      <c r="J7" s="112">
        <f t="shared" ref="J7:J10" si="8">IFERROR(SUM(H7+I7),"")</f>
        <v>1300</v>
      </c>
      <c r="K7" s="368"/>
    </row>
    <row r="8" spans="1:15" ht="25.5" customHeight="1" x14ac:dyDescent="0.2">
      <c r="A8" s="320">
        <v>46148</v>
      </c>
      <c r="B8" s="235" t="s">
        <v>55</v>
      </c>
      <c r="C8" s="249" t="s">
        <v>326</v>
      </c>
      <c r="D8" s="236">
        <v>165</v>
      </c>
      <c r="E8" s="237" t="s">
        <v>15</v>
      </c>
      <c r="F8" s="355" cm="1">
        <f t="array" ref="F8">IFERROR(INDEX(ราคาขนส่ง!$D$3:$D$102,MATCH(1,IF(ราคาขนส่ง!$B$3:$B$102=$B8,IF(ราคาขนส่ง!$C$3:$C$102=$E8,1)),0)),"")</f>
        <v>1300</v>
      </c>
      <c r="G8" s="355">
        <f>IFERROR(IF(F8&gt;10,F8,F8*D8),"")</f>
        <v>1300</v>
      </c>
      <c r="H8" s="149"/>
      <c r="I8" s="111">
        <f>IFERROR(SUM(G8+H8),"")</f>
        <v>1300</v>
      </c>
      <c r="J8" s="112">
        <f>IFERROR(SUM(H8+I8),"")</f>
        <v>1300</v>
      </c>
      <c r="K8" s="368"/>
    </row>
    <row r="9" spans="1:15" ht="25.5" customHeight="1" x14ac:dyDescent="0.2">
      <c r="A9" s="320">
        <v>46149</v>
      </c>
      <c r="B9" s="148" t="s">
        <v>26</v>
      </c>
      <c r="C9" s="249" t="s">
        <v>338</v>
      </c>
      <c r="D9" s="236">
        <v>169</v>
      </c>
      <c r="E9" s="237" t="s">
        <v>15</v>
      </c>
      <c r="F9" s="355" cm="1">
        <f t="array" ref="F9">IFERROR(INDEX(ราคาขนส่ง!$D$3:$D$102,MATCH(1,IF(ราคาขนส่ง!$B$3:$B$102=$B9,IF(ราคาขนส่ง!$C$3:$C$102=$E9,1)),0)),"")</f>
        <v>1650</v>
      </c>
      <c r="G9" s="355">
        <f t="shared" si="6"/>
        <v>1650</v>
      </c>
      <c r="H9" s="149"/>
      <c r="I9" s="111">
        <f t="shared" si="7"/>
        <v>1650</v>
      </c>
      <c r="J9" s="112">
        <f t="shared" si="8"/>
        <v>1650</v>
      </c>
      <c r="K9" s="368"/>
    </row>
    <row r="10" spans="1:15" ht="25.5" customHeight="1" x14ac:dyDescent="0.2">
      <c r="A10" s="320">
        <v>46150</v>
      </c>
      <c r="B10" s="148" t="s">
        <v>26</v>
      </c>
      <c r="C10" s="249" t="s">
        <v>339</v>
      </c>
      <c r="D10" s="236">
        <v>145</v>
      </c>
      <c r="E10" s="237" t="s">
        <v>15</v>
      </c>
      <c r="F10" s="355" cm="1">
        <f t="array" ref="F10">IFERROR(INDEX(ราคาขนส่ง!$D$3:$D$102,MATCH(1,IF(ราคาขนส่ง!$B$3:$B$102=$B10,IF(ราคาขนส่ง!$C$3:$C$102=$E10,1)),0)),"")</f>
        <v>1650</v>
      </c>
      <c r="G10" s="355">
        <f t="shared" si="6"/>
        <v>1650</v>
      </c>
      <c r="H10" s="149"/>
      <c r="I10" s="111">
        <f t="shared" si="7"/>
        <v>1650</v>
      </c>
      <c r="J10" s="112">
        <f t="shared" si="8"/>
        <v>1650</v>
      </c>
      <c r="K10" s="368"/>
    </row>
    <row r="11" spans="1:15" s="373" customFormat="1" ht="25.5" customHeight="1" x14ac:dyDescent="0.2">
      <c r="A11" s="350">
        <v>46151</v>
      </c>
      <c r="B11" s="235" t="s">
        <v>19</v>
      </c>
      <c r="C11" s="249" t="s">
        <v>340</v>
      </c>
      <c r="D11" s="371">
        <v>121</v>
      </c>
      <c r="E11" s="237" t="s">
        <v>15</v>
      </c>
      <c r="F11" s="364" cm="1">
        <f t="array" ref="F11">IFERROR(INDEX(ราคาขนส่ง!$D$3:$D$102,MATCH(1,IF(ราคาขนส่ง!$B$3:$B$102=$B11,IF(ราคาขนส่ง!$C$3:$C$102=$E11,1)),0)),"")</f>
        <v>1300</v>
      </c>
      <c r="G11" s="364">
        <f>IFERROR(IF(F11&gt;10,F11,F11*D11),"")</f>
        <v>1300</v>
      </c>
      <c r="H11" s="236"/>
      <c r="I11" s="239">
        <f>IFERROR(SUM(G11+H11),"")</f>
        <v>1300</v>
      </c>
      <c r="J11" s="240">
        <f>IFERROR(SUM(H11+I11),"")</f>
        <v>1300</v>
      </c>
      <c r="K11" s="374"/>
    </row>
    <row r="12" spans="1:15" ht="25.5" customHeight="1" x14ac:dyDescent="0.2">
      <c r="A12" s="320">
        <v>46153</v>
      </c>
      <c r="B12" s="235" t="s">
        <v>44</v>
      </c>
      <c r="C12" s="249" t="s">
        <v>341</v>
      </c>
      <c r="D12" s="356">
        <v>102</v>
      </c>
      <c r="E12" s="237" t="s">
        <v>15</v>
      </c>
      <c r="F12" s="223" cm="1">
        <f t="array" ref="F12">IFERROR(INDEX(ราคาขนส่ง!$D$3:$D$102,MATCH(1,IF(ราคาขนส่ง!$B$3:$B$102=$B12,IF(ราคาขนส่ง!$C$3:$C$102=$E12,1)),0)),"")</f>
        <v>700</v>
      </c>
      <c r="G12" s="223">
        <f t="shared" ref="G12:G13" si="9">IFERROR(IF(F12&gt;10,F12,F12*D12),"")</f>
        <v>700</v>
      </c>
      <c r="H12" s="149"/>
      <c r="I12" s="111">
        <f t="shared" ref="I12:I13" si="10">IFERROR(SUM(G12+H12),"")</f>
        <v>700</v>
      </c>
      <c r="J12" s="112">
        <f t="shared" ref="J12:J13" si="11">IFERROR(SUM(H12+I12),"")</f>
        <v>700</v>
      </c>
      <c r="K12" s="319"/>
    </row>
    <row r="13" spans="1:15" ht="25.5" customHeight="1" x14ac:dyDescent="0.2">
      <c r="A13" s="320">
        <v>46154</v>
      </c>
      <c r="B13" s="235" t="s">
        <v>55</v>
      </c>
      <c r="C13" s="249" t="s">
        <v>319</v>
      </c>
      <c r="D13" s="356">
        <v>148</v>
      </c>
      <c r="E13" s="237" t="s">
        <v>15</v>
      </c>
      <c r="F13" s="223" cm="1">
        <f t="array" ref="F13">IFERROR(INDEX(ราคาขนส่ง!$D$3:$D$102,MATCH(1,IF(ราคาขนส่ง!$B$3:$B$102=$B13,IF(ราคาขนส่ง!$C$3:$C$102=$E13,1)),0)),"")</f>
        <v>1300</v>
      </c>
      <c r="G13" s="223">
        <f t="shared" si="9"/>
        <v>1300</v>
      </c>
      <c r="H13" s="149"/>
      <c r="I13" s="111">
        <f t="shared" si="10"/>
        <v>1300</v>
      </c>
      <c r="J13" s="112">
        <f t="shared" si="11"/>
        <v>1300</v>
      </c>
      <c r="K13" s="319"/>
    </row>
    <row r="14" spans="1:15" ht="25.5" customHeight="1" x14ac:dyDescent="0.2">
      <c r="A14" s="320">
        <v>46155</v>
      </c>
      <c r="B14" s="235" t="s">
        <v>55</v>
      </c>
      <c r="C14" s="249" t="s">
        <v>300</v>
      </c>
      <c r="D14" s="356">
        <v>176</v>
      </c>
      <c r="E14" s="237" t="s">
        <v>15</v>
      </c>
      <c r="F14" s="355" cm="1">
        <f t="array" ref="F14">IFERROR(INDEX(ราคาขนส่ง!$D$3:$D$102,MATCH(1,IF(ราคาขนส่ง!$B$3:$B$102=$B14,IF(ราคาขนส่ง!$C$3:$C$102=$E14,1)),0)),"")</f>
        <v>1300</v>
      </c>
      <c r="G14" s="355">
        <f>IFERROR(IF(F14&gt;10,F14,F14*D14),"")</f>
        <v>1300</v>
      </c>
      <c r="H14" s="149"/>
      <c r="I14" s="111">
        <f>IFERROR(SUM(G14+H14),"")</f>
        <v>1300</v>
      </c>
      <c r="J14" s="112">
        <f>IFERROR(SUM(H14+I14),"")</f>
        <v>1300</v>
      </c>
      <c r="K14" s="368"/>
    </row>
    <row r="15" spans="1:15" ht="25.5" customHeight="1" x14ac:dyDescent="0.2">
      <c r="A15" s="320">
        <v>46157</v>
      </c>
      <c r="B15" s="148" t="s">
        <v>26</v>
      </c>
      <c r="C15" s="249" t="s">
        <v>344</v>
      </c>
      <c r="D15" s="356">
        <v>125</v>
      </c>
      <c r="E15" s="237" t="s">
        <v>15</v>
      </c>
      <c r="F15" s="355" cm="1">
        <f t="array" ref="F15">IFERROR(INDEX(ราคาขนส่ง!$D$3:$D$102,MATCH(1,IF(ราคาขนส่ง!$B$3:$B$102=$B15,IF(ราคาขนส่ง!$C$3:$C$102=$E15,1)),0)),"")</f>
        <v>1650</v>
      </c>
      <c r="G15" s="355">
        <f>IFERROR(IF(F15&gt;10,F15,F15*D15),"")</f>
        <v>1650</v>
      </c>
      <c r="H15" s="149"/>
      <c r="I15" s="111">
        <f>IFERROR(SUM(G15+H15),"")</f>
        <v>1650</v>
      </c>
      <c r="J15" s="112">
        <f>IFERROR(SUM(H15+I15),"")</f>
        <v>1650</v>
      </c>
      <c r="K15" s="368"/>
    </row>
    <row r="16" spans="1:15" ht="25.5" customHeight="1" x14ac:dyDescent="0.2">
      <c r="A16" s="320"/>
      <c r="B16" s="148"/>
      <c r="C16" s="249"/>
      <c r="D16" s="236"/>
      <c r="E16" s="116" t="s">
        <v>14</v>
      </c>
      <c r="F16" s="150" t="str">
        <f t="array" ref="F16">IFERROR(INDEX(ราคาขนส่ง!$D$3:$D$102,MATCH(1,IF(ราคาขนส่ง!$B$3:$B$102=$B16,IF(ราคาขนส่ง!$C$3:$C$102=$E16,1)),0)),"")</f>
        <v/>
      </c>
      <c r="G16" s="150" t="str">
        <f t="shared" ref="G16" si="12">IFERROR(IF(F16&gt;10,F16,F16*D16),"")</f>
        <v/>
      </c>
      <c r="H16" s="116"/>
      <c r="I16" s="111" t="str">
        <f t="shared" si="1"/>
        <v/>
      </c>
      <c r="J16" s="112" t="str">
        <f t="shared" si="2"/>
        <v/>
      </c>
      <c r="K16" s="319"/>
    </row>
    <row r="17" spans="1:11" ht="23.25" x14ac:dyDescent="0.2">
      <c r="A17" s="22"/>
      <c r="B17" s="24" t="s">
        <v>7</v>
      </c>
      <c r="C17" s="17"/>
      <c r="D17" s="24">
        <f>SUM(D5:D16)</f>
        <v>1695</v>
      </c>
      <c r="E17" s="24"/>
      <c r="F17" s="25"/>
      <c r="G17" s="55"/>
      <c r="H17" s="147"/>
      <c r="I17" s="64">
        <f>SUM(I5:I16)</f>
        <v>13344</v>
      </c>
      <c r="J17" s="65">
        <f>SUM(J5:J16)</f>
        <v>13344</v>
      </c>
      <c r="K17" s="56"/>
    </row>
    <row r="18" spans="1:11" ht="23.25" x14ac:dyDescent="0.2">
      <c r="A18" s="26" t="s">
        <v>8</v>
      </c>
      <c r="B18" s="11"/>
      <c r="C18" s="57"/>
      <c r="D18" s="10"/>
      <c r="E18" s="10"/>
      <c r="F18" s="11"/>
      <c r="G18" s="19"/>
      <c r="H18" s="20"/>
      <c r="I18" s="58"/>
      <c r="J18" s="58"/>
      <c r="K18" s="59"/>
    </row>
    <row r="19" spans="1:11" ht="23.25" x14ac:dyDescent="0.2">
      <c r="A19" s="12"/>
      <c r="B19" s="171" t="s">
        <v>9</v>
      </c>
      <c r="C19" s="172">
        <f>J17</f>
        <v>13344</v>
      </c>
      <c r="D19" s="171" t="s">
        <v>10</v>
      </c>
      <c r="E19" s="171"/>
      <c r="F19" s="27"/>
      <c r="G19" s="19"/>
      <c r="H19" s="20"/>
      <c r="I19" s="58"/>
      <c r="J19" s="58"/>
      <c r="K19" s="59"/>
    </row>
    <row r="20" spans="1:11" ht="23.25" x14ac:dyDescent="0.2">
      <c r="A20" s="37"/>
      <c r="B20" s="171" t="s">
        <v>11</v>
      </c>
      <c r="C20" s="173">
        <f>SUM(C19/100)</f>
        <v>133.44</v>
      </c>
      <c r="D20" s="171" t="s">
        <v>10</v>
      </c>
      <c r="E20" s="171"/>
      <c r="F20" s="49"/>
      <c r="G20" s="46"/>
      <c r="H20" s="47"/>
      <c r="I20" s="48"/>
      <c r="J20" s="48"/>
      <c r="K20" s="18"/>
    </row>
    <row r="21" spans="1:11" ht="23.25" x14ac:dyDescent="0.2">
      <c r="A21" s="37"/>
      <c r="B21" s="174" t="s">
        <v>74</v>
      </c>
      <c r="C21" s="175">
        <f>+Table45678910[[#Totals],[เป็นจำนวนเงิน(บาท)]]</f>
        <v>8000</v>
      </c>
      <c r="D21" s="174" t="s">
        <v>10</v>
      </c>
      <c r="E21" s="176"/>
      <c r="F21" s="50"/>
      <c r="G21" s="46"/>
      <c r="H21" s="47"/>
      <c r="I21" s="48"/>
      <c r="J21" s="48"/>
      <c r="K21" s="18"/>
    </row>
    <row r="22" spans="1:11" ht="23.25" x14ac:dyDescent="0.2">
      <c r="A22" s="37"/>
      <c r="B22" s="177" t="str">
        <f>+รายการหัก!C2</f>
        <v>ค่าอัพเดทบิล</v>
      </c>
      <c r="C22" s="178">
        <f>+รายการหัก!C8</f>
        <v>0</v>
      </c>
      <c r="D22" s="177" t="s">
        <v>10</v>
      </c>
      <c r="E22" s="176"/>
      <c r="F22" s="50"/>
      <c r="G22" s="46"/>
      <c r="H22" s="47"/>
      <c r="I22" s="48"/>
      <c r="J22" s="48"/>
      <c r="K22" s="18"/>
    </row>
    <row r="23" spans="1:11" ht="23.25" x14ac:dyDescent="0.2">
      <c r="A23" s="37"/>
      <c r="B23" s="179" t="str">
        <f>+รายการหัก!D2</f>
        <v>หักค่าโทรศัพท์</v>
      </c>
      <c r="C23" s="180">
        <f>+รายการหัก!D8</f>
        <v>0</v>
      </c>
      <c r="D23" s="179" t="s">
        <v>10</v>
      </c>
      <c r="E23" s="181"/>
      <c r="F23" s="45"/>
      <c r="G23" s="46"/>
      <c r="H23" s="47"/>
      <c r="I23" s="48"/>
      <c r="J23" s="48"/>
      <c r="K23" s="18"/>
    </row>
    <row r="24" spans="1:11" ht="23.25" x14ac:dyDescent="0.2">
      <c r="A24" s="37"/>
      <c r="B24" s="182" t="str">
        <f>+รายการหัก!E2</f>
        <v>หักค่าGPS</v>
      </c>
      <c r="C24" s="163">
        <f>+รายการหัก!E8</f>
        <v>0</v>
      </c>
      <c r="D24" s="182" t="s">
        <v>10</v>
      </c>
      <c r="E24" s="163">
        <f>+รายการหัก!F8</f>
        <v>0</v>
      </c>
      <c r="F24" s="45"/>
      <c r="G24" s="46"/>
      <c r="H24" s="47"/>
      <c r="I24" s="48"/>
      <c r="J24" s="48"/>
      <c r="K24" s="18"/>
    </row>
    <row r="25" spans="1:11" ht="23.25" x14ac:dyDescent="0.2">
      <c r="A25" s="37"/>
      <c r="B25" s="183" t="str">
        <f>+รายการหัก!G2</f>
        <v>หักค่ายืมเงิน</v>
      </c>
      <c r="C25" s="164">
        <f>+รายการหัก!G8</f>
        <v>0</v>
      </c>
      <c r="D25" s="183" t="s">
        <v>10</v>
      </c>
      <c r="E25" s="164">
        <f>+รายการหัก!H8</f>
        <v>0</v>
      </c>
      <c r="F25" s="45"/>
      <c r="G25" s="46"/>
      <c r="H25" s="47"/>
      <c r="I25" s="48"/>
      <c r="J25" s="48"/>
      <c r="K25" s="18"/>
    </row>
    <row r="26" spans="1:11" ht="23.25" x14ac:dyDescent="0.2">
      <c r="A26" s="37"/>
      <c r="B26" s="184" t="str">
        <f>+รายการหัก!I2</f>
        <v>หักค่าสัญญาณGPS รายปี</v>
      </c>
      <c r="C26" s="165">
        <f>+รายการหัก!I8</f>
        <v>0</v>
      </c>
      <c r="D26" s="185" t="s">
        <v>10</v>
      </c>
      <c r="E26" s="165">
        <f>+รายการหัก!J8</f>
        <v>0</v>
      </c>
      <c r="F26" s="51"/>
      <c r="G26" s="46"/>
      <c r="H26" s="47"/>
      <c r="I26" s="48"/>
      <c r="J26" s="48"/>
      <c r="K26" s="18"/>
    </row>
    <row r="27" spans="1:11" ht="23.25" x14ac:dyDescent="0.2">
      <c r="A27" s="37"/>
      <c r="B27" s="186" t="str">
        <f>+รายการหัก!K2</f>
        <v>หักค่าประกัน</v>
      </c>
      <c r="C27" s="166">
        <f>+รายการหัก!K8</f>
        <v>0</v>
      </c>
      <c r="D27" s="187" t="s">
        <v>10</v>
      </c>
      <c r="E27" s="166">
        <f>+รายการหัก!L8</f>
        <v>0</v>
      </c>
      <c r="F27" s="51"/>
      <c r="G27" s="46"/>
      <c r="H27" s="47"/>
      <c r="I27" s="48"/>
      <c r="J27" s="48"/>
      <c r="K27" s="18"/>
    </row>
    <row r="28" spans="1:11" ht="23.25" x14ac:dyDescent="0.2">
      <c r="A28" s="38"/>
      <c r="B28" s="188" t="s">
        <v>12</v>
      </c>
      <c r="C28" s="189">
        <f>SUM(C19-C20-C21+C22-C23-C24-C25-C26-C27)</f>
        <v>5210.5599999999995</v>
      </c>
      <c r="D28" s="188" t="s">
        <v>10</v>
      </c>
      <c r="E28" s="190"/>
      <c r="F28" s="52"/>
    </row>
    <row r="29" spans="1:11" ht="26.25" x14ac:dyDescent="0.2">
      <c r="B29" s="378"/>
      <c r="C29" s="378"/>
    </row>
    <row r="31" spans="1:11" ht="23.25" x14ac:dyDescent="0.2">
      <c r="B31" s="222" t="s">
        <v>137</v>
      </c>
      <c r="C31" s="147"/>
      <c r="D31" s="147"/>
      <c r="E31" s="147"/>
    </row>
  </sheetData>
  <mergeCells count="4">
    <mergeCell ref="A1:K1"/>
    <mergeCell ref="A2:B2"/>
    <mergeCell ref="A3:B3"/>
    <mergeCell ref="B29:C29"/>
  </mergeCells>
  <phoneticPr fontId="63" type="noConversion"/>
  <dataValidations count="1">
    <dataValidation type="list" allowBlank="1" showInputMessage="1" showErrorMessage="1" sqref="E5:E16" xr:uid="{04D506F5-9649-4D29-B16E-6362432C2A56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5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4ECBF2-1AD8-43A1-903C-8471EA3217A3}">
          <x14:formula1>
            <xm:f>ราคาขนส่ง!$B$3:$B$52</xm:f>
          </x14:formula1>
          <xm:sqref>B5:B16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6FC4-07B0-4E52-896C-A254E29A9448}">
  <sheetPr>
    <tabColor theme="5" tint="0.39997558519241921"/>
  </sheetPr>
  <dimension ref="A1:D14"/>
  <sheetViews>
    <sheetView zoomScaleNormal="100" workbookViewId="0">
      <selection activeCell="K12" sqref="K12"/>
    </sheetView>
  </sheetViews>
  <sheetFormatPr defaultColWidth="7.125" defaultRowHeight="21" x14ac:dyDescent="0.45"/>
  <cols>
    <col min="1" max="1" width="9.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+'ผจ-5663'!E2</f>
        <v>ผจ-5663</v>
      </c>
      <c r="D2" s="90" t="str">
        <f>+'ผจ-5663'!I2</f>
        <v>นายภักดี วัฒนพรหม</v>
      </c>
    </row>
    <row r="3" spans="1:4" ht="16.5" x14ac:dyDescent="0.35">
      <c r="A3" s="33"/>
    </row>
    <row r="4" spans="1:4" ht="26.25" x14ac:dyDescent="0.35">
      <c r="A4" s="301" t="s">
        <v>13</v>
      </c>
      <c r="B4" s="302" t="s">
        <v>98</v>
      </c>
      <c r="C4" s="302" t="s">
        <v>99</v>
      </c>
      <c r="D4" s="303" t="s">
        <v>100</v>
      </c>
    </row>
    <row r="5" spans="1:4" ht="35.25" customHeight="1" x14ac:dyDescent="0.55000000000000004">
      <c r="A5" s="359">
        <v>1</v>
      </c>
      <c r="B5" s="360">
        <v>46143</v>
      </c>
      <c r="C5" s="361" t="s">
        <v>179</v>
      </c>
      <c r="D5" s="80">
        <v>1000</v>
      </c>
    </row>
    <row r="6" spans="1:4" ht="38.25" customHeight="1" x14ac:dyDescent="0.55000000000000004">
      <c r="A6" s="359">
        <v>2</v>
      </c>
      <c r="B6" s="360">
        <v>46144</v>
      </c>
      <c r="C6" s="361" t="s">
        <v>180</v>
      </c>
      <c r="D6" s="80">
        <v>1000</v>
      </c>
    </row>
    <row r="7" spans="1:4" ht="37.5" customHeight="1" x14ac:dyDescent="0.55000000000000004">
      <c r="A7" s="359">
        <v>3</v>
      </c>
      <c r="B7" s="78">
        <v>46146</v>
      </c>
      <c r="C7" s="79" t="s">
        <v>181</v>
      </c>
      <c r="D7" s="80">
        <v>1000</v>
      </c>
    </row>
    <row r="8" spans="1:4" ht="37.5" customHeight="1" x14ac:dyDescent="0.55000000000000004">
      <c r="A8" s="359">
        <v>4</v>
      </c>
      <c r="B8" s="78">
        <v>46149</v>
      </c>
      <c r="C8" s="79" t="s">
        <v>182</v>
      </c>
      <c r="D8" s="80">
        <v>1000</v>
      </c>
    </row>
    <row r="9" spans="1:4" ht="37.5" customHeight="1" x14ac:dyDescent="0.55000000000000004">
      <c r="A9" s="359">
        <v>5</v>
      </c>
      <c r="B9" s="78">
        <v>46150</v>
      </c>
      <c r="C9" s="79" t="s">
        <v>183</v>
      </c>
      <c r="D9" s="80">
        <v>1000</v>
      </c>
    </row>
    <row r="10" spans="1:4" ht="37.5" customHeight="1" x14ac:dyDescent="0.55000000000000004">
      <c r="A10" s="359">
        <v>6</v>
      </c>
      <c r="B10" s="78">
        <v>46150</v>
      </c>
      <c r="C10" s="79" t="s">
        <v>184</v>
      </c>
      <c r="D10" s="80">
        <v>500</v>
      </c>
    </row>
    <row r="11" spans="1:4" ht="37.5" customHeight="1" x14ac:dyDescent="0.55000000000000004">
      <c r="A11" s="359">
        <v>7</v>
      </c>
      <c r="B11" s="360">
        <v>46153</v>
      </c>
      <c r="C11" s="361" t="s">
        <v>185</v>
      </c>
      <c r="D11" s="80">
        <v>500</v>
      </c>
    </row>
    <row r="12" spans="1:4" ht="37.5" customHeight="1" x14ac:dyDescent="0.55000000000000004">
      <c r="A12" s="359">
        <v>8</v>
      </c>
      <c r="B12" s="360">
        <v>46154</v>
      </c>
      <c r="C12" s="361" t="s">
        <v>186</v>
      </c>
      <c r="D12" s="80">
        <v>1000</v>
      </c>
    </row>
    <row r="13" spans="1:4" ht="37.5" customHeight="1" x14ac:dyDescent="0.55000000000000004">
      <c r="A13" s="359">
        <v>9</v>
      </c>
      <c r="B13" s="360">
        <v>46157</v>
      </c>
      <c r="C13" s="361" t="s">
        <v>187</v>
      </c>
      <c r="D13" s="80">
        <v>1000</v>
      </c>
    </row>
    <row r="14" spans="1:4" ht="37.5" customHeight="1" x14ac:dyDescent="0.55000000000000004">
      <c r="A14" s="304" t="s">
        <v>101</v>
      </c>
      <c r="B14" s="305"/>
      <c r="C14" s="305"/>
      <c r="D14" s="306">
        <f>SUBTOTAL(109,Table45678910[เป็นจำนวนเงิน(บาท)])</f>
        <v>8000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6BEF-C510-459B-AC5F-9807335F1E5A}">
  <sheetPr>
    <tabColor theme="5" tint="0.39997558519241921"/>
  </sheetPr>
  <dimension ref="A1:K34"/>
  <sheetViews>
    <sheetView zoomScaleNormal="100" workbookViewId="0">
      <selection sqref="A1:K34"/>
    </sheetView>
  </sheetViews>
  <sheetFormatPr defaultColWidth="7.125" defaultRowHeight="21" x14ac:dyDescent="0.2"/>
  <cols>
    <col min="1" max="1" width="8.875" style="156" bestFit="1" customWidth="1"/>
    <col min="2" max="2" width="14.5" style="147" customWidth="1"/>
    <col min="3" max="3" width="10.875" style="147" bestFit="1" customWidth="1"/>
    <col min="4" max="4" width="7.75" style="147" customWidth="1"/>
    <col min="5" max="5" width="8.5" style="147" customWidth="1"/>
    <col min="6" max="7" width="6.625" style="147" customWidth="1"/>
    <col min="8" max="8" width="3.5" style="147" customWidth="1"/>
    <col min="9" max="9" width="7.125" style="147"/>
    <col min="10" max="10" width="9.625" style="147" customWidth="1"/>
    <col min="11" max="11" width="9" style="147" customWidth="1"/>
    <col min="12" max="16384" width="7.125" style="147"/>
  </cols>
  <sheetData>
    <row r="1" spans="1:11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1" ht="23.25" x14ac:dyDescent="0.2">
      <c r="A2" s="376" t="str">
        <f>+รายการหัก!I1</f>
        <v>รอบวันที่ 1-15 พฤษภาคม 2569</v>
      </c>
      <c r="B2" s="376"/>
      <c r="C2" s="67"/>
      <c r="D2" s="34" t="s">
        <v>41</v>
      </c>
      <c r="E2" s="21" t="s">
        <v>83</v>
      </c>
      <c r="F2" s="21"/>
      <c r="G2" s="21"/>
      <c r="H2" s="40"/>
      <c r="I2" s="62" t="str">
        <f>VLOOKUP(E2,Table22[],2,0)</f>
        <v>นายกมล แสงจันทร์</v>
      </c>
      <c r="J2" s="62"/>
      <c r="K2" s="68"/>
    </row>
    <row r="3" spans="1:11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19.5" customHeight="1" x14ac:dyDescent="0.2">
      <c r="A5" s="109">
        <v>46143</v>
      </c>
      <c r="B5" s="148" t="s">
        <v>26</v>
      </c>
      <c r="C5" s="110" t="s">
        <v>287</v>
      </c>
      <c r="D5" s="149">
        <v>165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1650</v>
      </c>
      <c r="G5" s="150">
        <f>IFERROR(IF(F5&gt;10,F5,F5*D5),"")</f>
        <v>1650</v>
      </c>
      <c r="H5" s="116"/>
      <c r="I5" s="111">
        <f t="shared" ref="I5:I21" si="0">IFERROR(SUM(G5+H5),"")</f>
        <v>1650</v>
      </c>
      <c r="J5" s="112">
        <f t="shared" ref="J5:J21" si="1">IFERROR(SUM(H5+I5),"")</f>
        <v>1650</v>
      </c>
      <c r="K5" s="319"/>
    </row>
    <row r="6" spans="1:11" ht="19.5" customHeight="1" x14ac:dyDescent="0.2">
      <c r="A6" s="109">
        <v>46144</v>
      </c>
      <c r="B6" s="148" t="s">
        <v>69</v>
      </c>
      <c r="C6" s="110" t="s">
        <v>242</v>
      </c>
      <c r="D6" s="149">
        <v>38</v>
      </c>
      <c r="E6" s="116" t="s">
        <v>14</v>
      </c>
      <c r="F6" s="223" cm="1">
        <f t="array" ref="F6">IFERROR(INDEX(ราคาขนส่ง!$D$3:$D$102,MATCH(1,IF(ราคาขนส่ง!$B$3:$B$102=$B6,IF(ราคาขนส่ง!$C$3:$C$102=$E6,1)),0)),"")</f>
        <v>7.8</v>
      </c>
      <c r="G6" s="223">
        <f>IFERROR(IF(F6&gt;10,F6,F6*D6),"")</f>
        <v>296.39999999999998</v>
      </c>
      <c r="H6" s="149"/>
      <c r="I6" s="111">
        <f>IFERROR(SUM(G6+H6),"")</f>
        <v>296.39999999999998</v>
      </c>
      <c r="J6" s="112">
        <f>IFERROR(SUM(H6+I6),"")</f>
        <v>296.39999999999998</v>
      </c>
      <c r="K6" s="319"/>
    </row>
    <row r="7" spans="1:11" ht="19.5" customHeight="1" x14ac:dyDescent="0.2">
      <c r="A7" s="109"/>
      <c r="B7" s="148" t="s">
        <v>72</v>
      </c>
      <c r="C7" s="110"/>
      <c r="D7" s="149">
        <v>394</v>
      </c>
      <c r="E7" s="357" t="s">
        <v>14</v>
      </c>
      <c r="F7" s="355" cm="1">
        <f t="array" ref="F7">IFERROR(INDEX(ราคาขนส่ง!$D$3:$D$102,MATCH(1,IF(ราคาขนส่ง!$B$3:$B$102=$B7,IF(ราคาขนส่ง!$C$3:$C$102=$E7,1)),0)),"")</f>
        <v>9.3000000000000007</v>
      </c>
      <c r="G7" s="355">
        <f>IFERROR(IF(F7&gt;10,F7,F7*D7),"")</f>
        <v>3664.2000000000003</v>
      </c>
      <c r="H7" s="149"/>
      <c r="I7" s="111">
        <f>IFERROR(SUM(G7+H7),"")</f>
        <v>3664.2000000000003</v>
      </c>
      <c r="J7" s="112">
        <f>IFERROR(SUM(H7+I7),"")</f>
        <v>3664.2000000000003</v>
      </c>
      <c r="K7" s="368"/>
    </row>
    <row r="8" spans="1:11" ht="19.5" customHeight="1" x14ac:dyDescent="0.2">
      <c r="A8" s="109">
        <v>46147</v>
      </c>
      <c r="B8" s="148" t="s">
        <v>26</v>
      </c>
      <c r="C8" s="110" t="s">
        <v>345</v>
      </c>
      <c r="D8" s="149">
        <v>160</v>
      </c>
      <c r="E8" s="357" t="s">
        <v>15</v>
      </c>
      <c r="F8" s="150">
        <f t="array" ref="F8">IFERROR(INDEX(ราคาขนส่ง!$D$3:$D$102,MATCH(1,IF(ราคาขนส่ง!$B$3:$B$102=$B8,IF(ราคาขนส่ง!$C$3:$C$102=$E8,1)),0)),"")</f>
        <v>1650</v>
      </c>
      <c r="G8" s="150">
        <f t="shared" ref="G8" si="2">IFERROR(IF(F8&gt;10,F8,F8*D8),"")</f>
        <v>1650</v>
      </c>
      <c r="H8" s="116"/>
      <c r="I8" s="111">
        <f t="shared" ref="I8" si="3">IFERROR(SUM(G8+H8),"")</f>
        <v>1650</v>
      </c>
      <c r="J8" s="112">
        <f t="shared" ref="J8" si="4">IFERROR(SUM(H8+I8),"")</f>
        <v>1650</v>
      </c>
      <c r="K8" s="319"/>
    </row>
    <row r="9" spans="1:11" ht="19.5" customHeight="1" x14ac:dyDescent="0.2">
      <c r="A9" s="109">
        <v>46148</v>
      </c>
      <c r="B9" s="148" t="s">
        <v>44</v>
      </c>
      <c r="C9" s="110" t="s">
        <v>347</v>
      </c>
      <c r="D9" s="149">
        <v>250</v>
      </c>
      <c r="E9" s="357" t="s">
        <v>14</v>
      </c>
      <c r="F9" s="223" cm="1">
        <f t="array" ref="F9">IFERROR(INDEX(ราคาขนส่ง!$D$3:$D$102,MATCH(1,IF(ราคาขนส่ง!$B$3:$B$102=$B9,IF(ราคาขนส่ง!$C$3:$C$102=$E9,1)),0)),"")</f>
        <v>3</v>
      </c>
      <c r="G9" s="223">
        <f>IFERROR(IF(F9&gt;10,F9,F9*D9),"")</f>
        <v>750</v>
      </c>
      <c r="H9" s="149"/>
      <c r="I9" s="111">
        <f t="shared" si="0"/>
        <v>750</v>
      </c>
      <c r="J9" s="112">
        <f t="shared" si="1"/>
        <v>750</v>
      </c>
      <c r="K9" s="319"/>
    </row>
    <row r="10" spans="1:11" ht="19.5" customHeight="1" x14ac:dyDescent="0.2">
      <c r="A10" s="109">
        <v>46148</v>
      </c>
      <c r="B10" s="148" t="s">
        <v>44</v>
      </c>
      <c r="C10" s="110" t="s">
        <v>295</v>
      </c>
      <c r="D10" s="149">
        <v>116</v>
      </c>
      <c r="E10" s="357" t="s">
        <v>14</v>
      </c>
      <c r="F10" s="355" cm="1">
        <f t="array" ref="F10">IFERROR(INDEX(ราคาขนส่ง!$D$3:$D$102,MATCH(1,IF(ราคาขนส่ง!$B$3:$B$102=$B10,IF(ราคาขนส่ง!$C$3:$C$102=$E10,1)),0)),"")</f>
        <v>3</v>
      </c>
      <c r="G10" s="355">
        <f t="shared" ref="G10:G16" si="5">IFERROR(IF(F10&gt;10,F10,F10*D10),"")</f>
        <v>348</v>
      </c>
      <c r="H10" s="149"/>
      <c r="I10" s="111">
        <f t="shared" ref="I10:I16" si="6">IFERROR(SUM(G10+H10),"")</f>
        <v>348</v>
      </c>
      <c r="J10" s="112">
        <f t="shared" ref="J10:J16" si="7">IFERROR(SUM(H10+I10),"")</f>
        <v>348</v>
      </c>
      <c r="K10" s="368"/>
    </row>
    <row r="11" spans="1:11" ht="19.5" customHeight="1" x14ac:dyDescent="0.2">
      <c r="A11" s="109">
        <v>46149</v>
      </c>
      <c r="B11" s="148" t="s">
        <v>26</v>
      </c>
      <c r="C11" s="110" t="s">
        <v>311</v>
      </c>
      <c r="D11" s="149">
        <v>171</v>
      </c>
      <c r="E11" s="357" t="s">
        <v>15</v>
      </c>
      <c r="F11" s="355" cm="1">
        <f t="array" ref="F11">IFERROR(INDEX(ราคาขนส่ง!$D$3:$D$102,MATCH(1,IF(ราคาขนส่ง!$B$3:$B$102=$B11,IF(ราคาขนส่ง!$C$3:$C$102=$E11,1)),0)),"")</f>
        <v>1650</v>
      </c>
      <c r="G11" s="355">
        <f t="shared" si="5"/>
        <v>1650</v>
      </c>
      <c r="H11" s="149"/>
      <c r="I11" s="111">
        <f t="shared" si="6"/>
        <v>1650</v>
      </c>
      <c r="J11" s="112">
        <f t="shared" si="7"/>
        <v>1650</v>
      </c>
      <c r="K11" s="368"/>
    </row>
    <row r="12" spans="1:11" ht="19.5" customHeight="1" x14ac:dyDescent="0.2">
      <c r="A12" s="109">
        <v>46149</v>
      </c>
      <c r="B12" s="148" t="s">
        <v>44</v>
      </c>
      <c r="C12" s="110" t="s">
        <v>348</v>
      </c>
      <c r="D12" s="149">
        <v>350</v>
      </c>
      <c r="E12" s="357" t="s">
        <v>14</v>
      </c>
      <c r="F12" s="355" cm="1">
        <f t="array" ref="F12">IFERROR(INDEX(ราคาขนส่ง!$D$3:$D$102,MATCH(1,IF(ราคาขนส่ง!$B$3:$B$102=$B12,IF(ราคาขนส่ง!$C$3:$C$102=$E12,1)),0)),"")</f>
        <v>3</v>
      </c>
      <c r="G12" s="355">
        <f t="shared" ref="G12:G15" si="8">IFERROR(IF(F12&gt;10,F12,F12*D12),"")</f>
        <v>1050</v>
      </c>
      <c r="H12" s="149"/>
      <c r="I12" s="111">
        <f t="shared" ref="I12:I15" si="9">IFERROR(SUM(G12+H12),"")</f>
        <v>1050</v>
      </c>
      <c r="J12" s="112">
        <f t="shared" ref="J12:J15" si="10">IFERROR(SUM(H12+I12),"")</f>
        <v>1050</v>
      </c>
      <c r="K12" s="368"/>
    </row>
    <row r="13" spans="1:11" ht="19.5" customHeight="1" x14ac:dyDescent="0.2">
      <c r="A13" s="109">
        <v>46150</v>
      </c>
      <c r="B13" s="148" t="s">
        <v>44</v>
      </c>
      <c r="C13" s="110" t="s">
        <v>297</v>
      </c>
      <c r="D13" s="149">
        <v>274</v>
      </c>
      <c r="E13" s="357" t="s">
        <v>14</v>
      </c>
      <c r="F13" s="355" cm="1">
        <f t="array" ref="F13">IFERROR(INDEX(ราคาขนส่ง!$D$3:$D$102,MATCH(1,IF(ราคาขนส่ง!$B$3:$B$102=$B13,IF(ราคาขนส่ง!$C$3:$C$102=$E13,1)),0)),"")</f>
        <v>3</v>
      </c>
      <c r="G13" s="355">
        <f t="shared" si="8"/>
        <v>822</v>
      </c>
      <c r="H13" s="149"/>
      <c r="I13" s="111">
        <f t="shared" si="9"/>
        <v>822</v>
      </c>
      <c r="J13" s="112">
        <f t="shared" si="10"/>
        <v>822</v>
      </c>
      <c r="K13" s="368"/>
    </row>
    <row r="14" spans="1:11" ht="19.5" customHeight="1" x14ac:dyDescent="0.2">
      <c r="A14" s="109">
        <v>46151</v>
      </c>
      <c r="B14" s="148" t="s">
        <v>19</v>
      </c>
      <c r="C14" s="110" t="s">
        <v>350</v>
      </c>
      <c r="D14" s="149">
        <v>142</v>
      </c>
      <c r="E14" s="357" t="s">
        <v>15</v>
      </c>
      <c r="F14" s="355" cm="1">
        <f t="array" ref="F14">IFERROR(INDEX(ราคาขนส่ง!$D$3:$D$102,MATCH(1,IF(ราคาขนส่ง!$B$3:$B$102=$B14,IF(ราคาขนส่ง!$C$3:$C$102=$E14,1)),0)),"")</f>
        <v>1300</v>
      </c>
      <c r="G14" s="355">
        <f t="shared" si="8"/>
        <v>1300</v>
      </c>
      <c r="H14" s="149"/>
      <c r="I14" s="111">
        <f t="shared" si="9"/>
        <v>1300</v>
      </c>
      <c r="J14" s="112">
        <f t="shared" si="10"/>
        <v>1300</v>
      </c>
      <c r="K14" s="368"/>
    </row>
    <row r="15" spans="1:11" ht="19.5" customHeight="1" x14ac:dyDescent="0.2">
      <c r="A15" s="109">
        <v>46153</v>
      </c>
      <c r="B15" s="148" t="s">
        <v>72</v>
      </c>
      <c r="C15" s="110" t="s">
        <v>342</v>
      </c>
      <c r="D15" s="149">
        <v>201</v>
      </c>
      <c r="E15" s="357" t="s">
        <v>15</v>
      </c>
      <c r="F15" s="355" cm="1">
        <f t="array" ref="F15">IFERROR(INDEX(ราคาขนส่ง!$D$3:$D$102,MATCH(1,IF(ราคาขนส่ง!$B$3:$B$102=$B15,IF(ราคาขนส่ง!$C$3:$C$102=$E15,1)),0)),"")</f>
        <v>2500</v>
      </c>
      <c r="G15" s="355">
        <f t="shared" si="8"/>
        <v>2500</v>
      </c>
      <c r="H15" s="149"/>
      <c r="I15" s="111">
        <f t="shared" si="9"/>
        <v>2500</v>
      </c>
      <c r="J15" s="112">
        <f t="shared" si="10"/>
        <v>2500</v>
      </c>
      <c r="K15" s="368"/>
    </row>
    <row r="16" spans="1:11" ht="19.5" customHeight="1" x14ac:dyDescent="0.2">
      <c r="A16" s="109">
        <v>46154</v>
      </c>
      <c r="B16" s="148" t="s">
        <v>44</v>
      </c>
      <c r="C16" s="110" t="s">
        <v>351</v>
      </c>
      <c r="D16" s="149">
        <v>150</v>
      </c>
      <c r="E16" s="357" t="s">
        <v>14</v>
      </c>
      <c r="F16" s="355" cm="1">
        <f t="array" ref="F16">IFERROR(INDEX(ราคาขนส่ง!$D$3:$D$102,MATCH(1,IF(ราคาขนส่ง!$B$3:$B$102=$B16,IF(ราคาขนส่ง!$C$3:$C$102=$E16,1)),0)),"")</f>
        <v>3</v>
      </c>
      <c r="G16" s="355">
        <f t="shared" si="5"/>
        <v>450</v>
      </c>
      <c r="H16" s="149"/>
      <c r="I16" s="111">
        <f t="shared" si="6"/>
        <v>450</v>
      </c>
      <c r="J16" s="112">
        <f t="shared" si="7"/>
        <v>450</v>
      </c>
      <c r="K16" s="368"/>
    </row>
    <row r="17" spans="1:11" ht="19.5" customHeight="1" x14ac:dyDescent="0.2">
      <c r="A17" s="109">
        <v>46154</v>
      </c>
      <c r="B17" s="148" t="s">
        <v>34</v>
      </c>
      <c r="C17" s="110" t="s">
        <v>352</v>
      </c>
      <c r="D17" s="149">
        <v>147</v>
      </c>
      <c r="E17" s="357" t="s">
        <v>15</v>
      </c>
      <c r="F17" s="150">
        <f t="array" ref="F17">IFERROR(INDEX(ราคาขนส่ง!$D$3:$D$102,MATCH(1,IF(ราคาขนส่ง!$B$3:$B$102=$B17,IF(ราคาขนส่ง!$C$3:$C$102=$E17,1)),0)),"")</f>
        <v>1650</v>
      </c>
      <c r="G17" s="150">
        <f t="shared" ref="G17:G21" si="11">IFERROR(IF(F17&gt;10,F17,F17*D17),"")</f>
        <v>1650</v>
      </c>
      <c r="H17" s="116"/>
      <c r="I17" s="111">
        <f t="shared" si="0"/>
        <v>1650</v>
      </c>
      <c r="J17" s="112">
        <f t="shared" si="1"/>
        <v>1650</v>
      </c>
      <c r="K17" s="319"/>
    </row>
    <row r="18" spans="1:11" ht="19.5" customHeight="1" x14ac:dyDescent="0.2">
      <c r="A18" s="109">
        <v>46155</v>
      </c>
      <c r="B18" s="148" t="s">
        <v>72</v>
      </c>
      <c r="C18" s="110" t="s">
        <v>285</v>
      </c>
      <c r="D18" s="149">
        <v>499</v>
      </c>
      <c r="E18" s="116" t="s">
        <v>14</v>
      </c>
      <c r="F18" s="223" cm="1">
        <f t="array" ref="F18">IFERROR(INDEX(ราคาขนส่ง!$D$3:$D$102,MATCH(1,IF(ราคาขนส่ง!$B$3:$B$102=$B18,IF(ราคาขนส่ง!$C$3:$C$102=$E18,1)),0)),"")</f>
        <v>9.3000000000000007</v>
      </c>
      <c r="G18" s="223">
        <f t="shared" ref="G18:G20" si="12">IFERROR(IF(F18&gt;10,F18,F18*D18),"")</f>
        <v>4640.7000000000007</v>
      </c>
      <c r="H18" s="149"/>
      <c r="I18" s="111">
        <f t="shared" ref="I18:I20" si="13">IFERROR(SUM(G18+H18),"")</f>
        <v>4640.7000000000007</v>
      </c>
      <c r="J18" s="112">
        <f t="shared" ref="J18:J20" si="14">IFERROR(SUM(H18+I18),"")</f>
        <v>4640.7000000000007</v>
      </c>
      <c r="K18" s="319" t="s">
        <v>148</v>
      </c>
    </row>
    <row r="19" spans="1:11" ht="19.5" customHeight="1" x14ac:dyDescent="0.2">
      <c r="A19" s="109"/>
      <c r="B19" s="148" t="s">
        <v>68</v>
      </c>
      <c r="C19" s="110"/>
      <c r="D19" s="149">
        <v>1</v>
      </c>
      <c r="E19" s="116" t="s">
        <v>14</v>
      </c>
      <c r="F19" s="223" cm="1">
        <f t="array" ref="F19">IFERROR(INDEX(ราคาขนส่ง!$D$3:$D$102,MATCH(1,IF(ราคาขนส่ง!$B$3:$B$102=$B19,IF(ราคาขนส่ง!$C$3:$C$102=$E19,1)),0)),"")</f>
        <v>7.8</v>
      </c>
      <c r="G19" s="223">
        <f t="shared" si="12"/>
        <v>7.8</v>
      </c>
      <c r="H19" s="149"/>
      <c r="I19" s="111">
        <f t="shared" si="13"/>
        <v>7.8</v>
      </c>
      <c r="J19" s="112">
        <f t="shared" si="14"/>
        <v>7.8</v>
      </c>
      <c r="K19" s="319"/>
    </row>
    <row r="20" spans="1:11" ht="19.5" customHeight="1" x14ac:dyDescent="0.2">
      <c r="A20" s="109">
        <v>46157</v>
      </c>
      <c r="B20" s="148" t="s">
        <v>72</v>
      </c>
      <c r="C20" s="110" t="s">
        <v>353</v>
      </c>
      <c r="D20" s="149">
        <v>114</v>
      </c>
      <c r="E20" s="116" t="s">
        <v>15</v>
      </c>
      <c r="F20" s="223" cm="1">
        <f t="array" ref="F20">IFERROR(INDEX(ราคาขนส่ง!$D$3:$D$102,MATCH(1,IF(ราคาขนส่ง!$B$3:$B$102=$B20,IF(ราคาขนส่ง!$C$3:$C$102=$E20,1)),0)),"")</f>
        <v>2500</v>
      </c>
      <c r="G20" s="223">
        <f t="shared" si="12"/>
        <v>2500</v>
      </c>
      <c r="H20" s="149"/>
      <c r="I20" s="111">
        <f t="shared" si="13"/>
        <v>2500</v>
      </c>
      <c r="J20" s="112">
        <f t="shared" si="14"/>
        <v>2500</v>
      </c>
      <c r="K20" s="319"/>
    </row>
    <row r="21" spans="1:11" ht="16.5" customHeight="1" x14ac:dyDescent="0.2">
      <c r="A21" s="109"/>
      <c r="B21" s="148"/>
      <c r="C21" s="110"/>
      <c r="D21" s="149"/>
      <c r="E21" s="116" t="s">
        <v>14</v>
      </c>
      <c r="F21" s="150" t="str">
        <f t="array" ref="F21">IFERROR(INDEX(ราคาขนส่ง!$D$3:$D$102,MATCH(1,IF(ราคาขนส่ง!$B$3:$B$102=$B21,IF(ราคาขนส่ง!$C$3:$C$102=$E21,1)),0)),"")</f>
        <v/>
      </c>
      <c r="G21" s="150" t="str">
        <f t="shared" si="11"/>
        <v/>
      </c>
      <c r="H21" s="116"/>
      <c r="I21" s="111" t="str">
        <f t="shared" si="0"/>
        <v/>
      </c>
      <c r="J21" s="112" t="str">
        <f t="shared" si="1"/>
        <v/>
      </c>
      <c r="K21" s="319"/>
    </row>
    <row r="22" spans="1:11" ht="23.25" x14ac:dyDescent="0.2">
      <c r="A22" s="22"/>
      <c r="B22" s="24" t="s">
        <v>7</v>
      </c>
      <c r="C22" s="17"/>
      <c r="D22" s="24">
        <f>SUM(D5:D21)</f>
        <v>3172</v>
      </c>
      <c r="E22" s="24"/>
      <c r="F22" s="25"/>
      <c r="G22" s="55"/>
      <c r="I22" s="64">
        <f>SUM(I5:I21)</f>
        <v>24929.1</v>
      </c>
      <c r="J22" s="65">
        <f>SUM(J5:J21)</f>
        <v>24929.1</v>
      </c>
      <c r="K22" s="56"/>
    </row>
    <row r="23" spans="1:11" ht="16.5" customHeight="1" x14ac:dyDescent="0.2">
      <c r="A23" s="26" t="s">
        <v>8</v>
      </c>
      <c r="B23" s="11"/>
      <c r="C23" s="57"/>
      <c r="D23" s="10"/>
      <c r="E23" s="10"/>
      <c r="F23" s="11"/>
      <c r="G23" s="19"/>
      <c r="H23" s="20"/>
      <c r="I23" s="58"/>
      <c r="J23" s="58"/>
      <c r="K23" s="59"/>
    </row>
    <row r="24" spans="1:11" ht="19.5" customHeight="1" x14ac:dyDescent="0.2">
      <c r="A24" s="12"/>
      <c r="B24" s="171" t="s">
        <v>9</v>
      </c>
      <c r="C24" s="172">
        <f>J22</f>
        <v>24929.1</v>
      </c>
      <c r="D24" s="171" t="s">
        <v>10</v>
      </c>
      <c r="E24" s="171"/>
      <c r="F24" s="27"/>
      <c r="G24" s="19"/>
      <c r="H24" s="20"/>
      <c r="I24" s="58"/>
      <c r="J24" s="58"/>
      <c r="K24" s="59"/>
    </row>
    <row r="25" spans="1:11" ht="19.5" customHeight="1" x14ac:dyDescent="0.2">
      <c r="A25" s="12"/>
      <c r="B25" s="171" t="s">
        <v>11</v>
      </c>
      <c r="C25" s="173">
        <f>SUM(C24/100)</f>
        <v>249.291</v>
      </c>
      <c r="D25" s="171" t="s">
        <v>10</v>
      </c>
      <c r="E25" s="171"/>
      <c r="F25" s="27"/>
      <c r="G25" s="19"/>
      <c r="H25" s="20"/>
      <c r="I25" s="58"/>
      <c r="J25" s="58"/>
      <c r="K25" s="59"/>
    </row>
    <row r="26" spans="1:11" ht="19.5" customHeight="1" x14ac:dyDescent="0.2">
      <c r="A26" s="12"/>
      <c r="B26" s="174" t="s">
        <v>74</v>
      </c>
      <c r="C26" s="175">
        <f>+Table45678910111213[[#Totals],[เป็นจำนวนเงิน(บาท)]]</f>
        <v>11500</v>
      </c>
      <c r="D26" s="174" t="s">
        <v>10</v>
      </c>
      <c r="E26" s="176"/>
      <c r="F26" s="28"/>
      <c r="G26" s="19"/>
      <c r="H26" s="20"/>
      <c r="I26" s="58"/>
      <c r="J26" s="58"/>
      <c r="K26" s="59"/>
    </row>
    <row r="27" spans="1:11" ht="19.5" customHeight="1" x14ac:dyDescent="0.2">
      <c r="A27" s="12"/>
      <c r="B27" s="177" t="str">
        <f>+รายการหัก!C2</f>
        <v>ค่าอัพเดทบิล</v>
      </c>
      <c r="C27" s="178">
        <f>+รายการหัก!C10</f>
        <v>0</v>
      </c>
      <c r="D27" s="177" t="s">
        <v>10</v>
      </c>
      <c r="E27" s="176"/>
      <c r="F27" s="28"/>
      <c r="G27" s="19"/>
      <c r="H27" s="20"/>
      <c r="I27" s="58"/>
      <c r="J27" s="58"/>
      <c r="K27" s="59"/>
    </row>
    <row r="28" spans="1:11" ht="19.5" customHeight="1" x14ac:dyDescent="0.2">
      <c r="A28" s="12"/>
      <c r="B28" s="179" t="str">
        <f>+รายการหัก!D2</f>
        <v>หักค่าโทรศัพท์</v>
      </c>
      <c r="C28" s="180">
        <f>+รายการหัก!D10</f>
        <v>0</v>
      </c>
      <c r="D28" s="179" t="s">
        <v>10</v>
      </c>
      <c r="E28" s="181"/>
      <c r="F28" s="11"/>
      <c r="G28" s="19"/>
      <c r="H28" s="20"/>
      <c r="I28" s="58"/>
      <c r="J28" s="58"/>
      <c r="K28" s="59"/>
    </row>
    <row r="29" spans="1:11" ht="19.5" customHeight="1" x14ac:dyDescent="0.2">
      <c r="A29" s="12"/>
      <c r="B29" s="182" t="str">
        <f>+รายการหัก!E2</f>
        <v>หักค่าGPS</v>
      </c>
      <c r="C29" s="163">
        <f>+รายการหัก!E10</f>
        <v>0</v>
      </c>
      <c r="D29" s="182" t="s">
        <v>10</v>
      </c>
      <c r="E29" s="163">
        <f>+รายการหัก!F10</f>
        <v>0</v>
      </c>
      <c r="F29" s="11"/>
      <c r="G29" s="19"/>
      <c r="H29" s="20"/>
      <c r="I29" s="58"/>
      <c r="J29" s="58"/>
      <c r="K29" s="59"/>
    </row>
    <row r="30" spans="1:11" ht="19.5" customHeight="1" x14ac:dyDescent="0.2">
      <c r="A30" s="12"/>
      <c r="B30" s="183" t="str">
        <f>+รายการหัก!G2</f>
        <v>หักค่ายืมเงิน</v>
      </c>
      <c r="C30" s="164">
        <f>+รายการหัก!G10</f>
        <v>0</v>
      </c>
      <c r="D30" s="183" t="s">
        <v>10</v>
      </c>
      <c r="E30" s="164">
        <f>+รายการหัก!H10</f>
        <v>0</v>
      </c>
      <c r="F30" s="11"/>
      <c r="G30" s="19"/>
      <c r="H30" s="20"/>
      <c r="I30" s="58"/>
      <c r="J30" s="58"/>
      <c r="K30" s="59"/>
    </row>
    <row r="31" spans="1:11" ht="19.5" customHeight="1" x14ac:dyDescent="0.2">
      <c r="A31" s="12"/>
      <c r="B31" s="184" t="str">
        <f>+รายการหัก!I2</f>
        <v>หักค่าสัญญาณGPS รายปี</v>
      </c>
      <c r="C31" s="165">
        <f>+รายการหัก!I10</f>
        <v>0</v>
      </c>
      <c r="D31" s="185" t="s">
        <v>10</v>
      </c>
      <c r="E31" s="165">
        <f>+รายการหัก!J10</f>
        <v>0</v>
      </c>
      <c r="F31" s="29"/>
      <c r="G31" s="19"/>
      <c r="H31" s="20"/>
      <c r="I31" s="58"/>
      <c r="J31" s="58"/>
      <c r="K31" s="59"/>
    </row>
    <row r="32" spans="1:11" ht="19.5" customHeight="1" x14ac:dyDescent="0.2">
      <c r="A32" s="12"/>
      <c r="B32" s="186" t="str">
        <f>+รายการหัก!K2</f>
        <v>หักค่าประกัน</v>
      </c>
      <c r="C32" s="166">
        <f>+รายการหัก!K10</f>
        <v>0</v>
      </c>
      <c r="D32" s="187" t="s">
        <v>10</v>
      </c>
      <c r="E32" s="166">
        <f>+รายการหัก!L10</f>
        <v>0</v>
      </c>
      <c r="F32" s="29"/>
      <c r="G32" s="19"/>
      <c r="H32" s="20"/>
      <c r="I32" s="58"/>
      <c r="J32" s="58"/>
      <c r="K32" s="59"/>
    </row>
    <row r="33" spans="1:6" ht="19.5" customHeight="1" x14ac:dyDescent="0.2">
      <c r="A33" s="23"/>
      <c r="B33" s="188" t="s">
        <v>12</v>
      </c>
      <c r="C33" s="189">
        <f>SUM(C24-C25-C26+C27-C28-C29-C30-C31-C32)</f>
        <v>13179.808999999997</v>
      </c>
      <c r="D33" s="188" t="s">
        <v>10</v>
      </c>
      <c r="E33" s="190"/>
      <c r="F33" s="30"/>
    </row>
    <row r="34" spans="1:6" ht="19.5" customHeight="1" x14ac:dyDescent="0.2">
      <c r="B34" s="222" t="s">
        <v>137</v>
      </c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21" xr:uid="{B872C7A7-B059-4F39-9A27-F5DB426911B0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6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CF78A5-B51E-4F32-9E37-FC3D490F69E0}">
          <x14:formula1>
            <xm:f>ราคาขนส่ง!$B$3:$B$52</xm:f>
          </x14:formula1>
          <xm:sqref>B5:B21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E6F3-B6AC-4F4A-BFEA-7E9FA05E020B}">
  <sheetPr>
    <tabColor theme="5" tint="0.39997558519241921"/>
  </sheetPr>
  <dimension ref="A1:D14"/>
  <sheetViews>
    <sheetView topLeftCell="A8" zoomScaleNormal="100" workbookViewId="0">
      <selection activeCell="B14" sqref="B14"/>
    </sheetView>
  </sheetViews>
  <sheetFormatPr defaultColWidth="7.125" defaultRowHeight="21" x14ac:dyDescent="0.45"/>
  <cols>
    <col min="1" max="1" width="9.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+'ผฉ-1941'!E2</f>
        <v>ผฉ-1941</v>
      </c>
      <c r="D2" s="90" t="str">
        <f>+'ผฉ-1941'!I2</f>
        <v>นายกมล แสงจันทร์</v>
      </c>
    </row>
    <row r="3" spans="1:4" ht="16.5" x14ac:dyDescent="0.35">
      <c r="A3" s="33"/>
    </row>
    <row r="4" spans="1:4" ht="31.5" customHeight="1" x14ac:dyDescent="0.35">
      <c r="A4" s="301" t="s">
        <v>13</v>
      </c>
      <c r="B4" s="302" t="s">
        <v>98</v>
      </c>
      <c r="C4" s="302" t="s">
        <v>99</v>
      </c>
      <c r="D4" s="303" t="s">
        <v>100</v>
      </c>
    </row>
    <row r="5" spans="1:4" ht="41.25" customHeight="1" x14ac:dyDescent="0.55000000000000004">
      <c r="A5" s="77">
        <v>1</v>
      </c>
      <c r="B5" s="78">
        <v>46143</v>
      </c>
      <c r="C5" s="79" t="s">
        <v>200</v>
      </c>
      <c r="D5" s="80">
        <v>1000</v>
      </c>
    </row>
    <row r="6" spans="1:4" ht="41.25" customHeight="1" x14ac:dyDescent="0.55000000000000004">
      <c r="A6" s="77">
        <v>2</v>
      </c>
      <c r="B6" s="78">
        <v>46143</v>
      </c>
      <c r="C6" s="79" t="s">
        <v>201</v>
      </c>
      <c r="D6" s="80">
        <v>2000</v>
      </c>
    </row>
    <row r="7" spans="1:4" ht="41.25" customHeight="1" x14ac:dyDescent="0.55000000000000004">
      <c r="A7" s="77">
        <v>3</v>
      </c>
      <c r="B7" s="78">
        <v>46146</v>
      </c>
      <c r="C7" s="79" t="s">
        <v>202</v>
      </c>
      <c r="D7" s="80">
        <v>500</v>
      </c>
    </row>
    <row r="8" spans="1:4" ht="41.25" customHeight="1" x14ac:dyDescent="0.55000000000000004">
      <c r="A8" s="77">
        <v>4</v>
      </c>
      <c r="B8" s="78">
        <v>46148</v>
      </c>
      <c r="C8" s="79" t="s">
        <v>203</v>
      </c>
      <c r="D8" s="80">
        <v>1000</v>
      </c>
    </row>
    <row r="9" spans="1:4" ht="41.25" customHeight="1" x14ac:dyDescent="0.55000000000000004">
      <c r="A9" s="77">
        <v>5</v>
      </c>
      <c r="B9" s="360">
        <v>46150</v>
      </c>
      <c r="C9" s="361" t="s">
        <v>204</v>
      </c>
      <c r="D9" s="80">
        <v>1000</v>
      </c>
    </row>
    <row r="10" spans="1:4" ht="41.25" customHeight="1" x14ac:dyDescent="0.55000000000000004">
      <c r="A10" s="77">
        <v>6</v>
      </c>
      <c r="B10" s="360">
        <v>46151</v>
      </c>
      <c r="C10" s="79" t="s">
        <v>205</v>
      </c>
      <c r="D10" s="80">
        <v>1500</v>
      </c>
    </row>
    <row r="11" spans="1:4" ht="41.25" customHeight="1" x14ac:dyDescent="0.55000000000000004">
      <c r="A11" s="77">
        <v>7</v>
      </c>
      <c r="B11" s="360">
        <v>46153</v>
      </c>
      <c r="C11" s="361" t="s">
        <v>206</v>
      </c>
      <c r="D11" s="80">
        <v>500</v>
      </c>
    </row>
    <row r="12" spans="1:4" ht="41.25" customHeight="1" x14ac:dyDescent="0.55000000000000004">
      <c r="A12" s="359">
        <v>8</v>
      </c>
      <c r="B12" s="360">
        <v>46154</v>
      </c>
      <c r="C12" s="361" t="s">
        <v>207</v>
      </c>
      <c r="D12" s="80">
        <v>2000</v>
      </c>
    </row>
    <row r="13" spans="1:4" ht="41.25" customHeight="1" x14ac:dyDescent="0.55000000000000004">
      <c r="A13" s="359">
        <v>10</v>
      </c>
      <c r="B13" s="360">
        <v>46156</v>
      </c>
      <c r="C13" s="361" t="s">
        <v>208</v>
      </c>
      <c r="D13" s="80">
        <v>2000</v>
      </c>
    </row>
    <row r="14" spans="1:4" ht="41.25" customHeight="1" x14ac:dyDescent="0.55000000000000004">
      <c r="A14" s="304" t="s">
        <v>101</v>
      </c>
      <c r="B14" s="305"/>
      <c r="C14" s="305"/>
      <c r="D14" s="306">
        <f>SUBTOTAL(109,Table45678910111213[เป็นจำนวนเงิน(บาท)])</f>
        <v>11500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CE64-D0F4-482F-8B95-6E948A89B18B}">
  <sheetPr>
    <tabColor theme="5" tint="0.39997558519241921"/>
  </sheetPr>
  <dimension ref="A1:N36"/>
  <sheetViews>
    <sheetView showWhiteSpace="0" zoomScaleNormal="100" workbookViewId="0">
      <selection sqref="A1:K38"/>
    </sheetView>
  </sheetViews>
  <sheetFormatPr defaultColWidth="7.125" defaultRowHeight="21" x14ac:dyDescent="0.2"/>
  <cols>
    <col min="1" max="1" width="8.875" style="157" bestFit="1" customWidth="1"/>
    <col min="2" max="2" width="16" style="147" customWidth="1"/>
    <col min="3" max="3" width="10.875" style="68" bestFit="1" customWidth="1"/>
    <col min="4" max="4" width="9" style="68" customWidth="1"/>
    <col min="5" max="5" width="8.375" style="68" customWidth="1"/>
    <col min="6" max="6" width="6.375" style="68" customWidth="1"/>
    <col min="7" max="7" width="6.625" style="68" customWidth="1"/>
    <col min="8" max="8" width="3.5" style="68" customWidth="1"/>
    <col min="9" max="9" width="7.125" style="68"/>
    <col min="10" max="10" width="9.25" style="68" customWidth="1"/>
    <col min="11" max="11" width="7.625" style="68" customWidth="1"/>
    <col min="12" max="16384" width="7.125" style="68"/>
  </cols>
  <sheetData>
    <row r="1" spans="1:11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1" ht="23.25" x14ac:dyDescent="0.2">
      <c r="A2" s="381" t="str">
        <f>+รายการหัก!I1</f>
        <v>รอบวันที่ 1-15 พฤษภาคม 2569</v>
      </c>
      <c r="B2" s="381"/>
      <c r="C2" s="62"/>
      <c r="D2" s="34" t="s">
        <v>41</v>
      </c>
      <c r="E2" s="21" t="s">
        <v>85</v>
      </c>
      <c r="F2" s="21"/>
      <c r="G2" s="21"/>
      <c r="H2" s="40"/>
      <c r="I2" s="62" t="str">
        <f>VLOOKUP(E2,Table22[],2,0)</f>
        <v>นายสุทัศน์ เสือเลี้ยง</v>
      </c>
      <c r="J2" s="62"/>
    </row>
    <row r="3" spans="1:11" ht="18" x14ac:dyDescent="0.2">
      <c r="A3" s="377" t="str">
        <f>+รายการหัก!B1</f>
        <v>เงินออกรอบ 5</v>
      </c>
      <c r="B3" s="377"/>
      <c r="C3" s="41"/>
      <c r="D3" s="42"/>
      <c r="E3" s="42"/>
      <c r="F3" s="42"/>
      <c r="G3" s="42"/>
      <c r="H3" s="40"/>
      <c r="I3" s="43"/>
      <c r="J3" s="43"/>
      <c r="K3" s="44"/>
    </row>
    <row r="4" spans="1:1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19.5" customHeight="1" x14ac:dyDescent="0.2">
      <c r="A5" s="109">
        <v>46143</v>
      </c>
      <c r="B5" s="148" t="s">
        <v>68</v>
      </c>
      <c r="C5" s="110" t="s">
        <v>304</v>
      </c>
      <c r="D5" s="149">
        <v>2</v>
      </c>
      <c r="E5" s="116" t="s">
        <v>14</v>
      </c>
      <c r="F5" s="150">
        <f t="array" ref="F5">IFERROR(INDEX(ราคาขนส่ง!$D$3:$D$102,MATCH(1,IF(ราคาขนส่ง!$B$3:$B$102=$B5,IF(ราคาขนส่ง!$C$3:$C$102=$E5,1)),0)),"")</f>
        <v>7.8</v>
      </c>
      <c r="G5" s="150">
        <f>IFERROR(IF(F5&gt;10,F5,F5*D5),"")</f>
        <v>15.6</v>
      </c>
      <c r="H5" s="116"/>
      <c r="I5" s="111">
        <f t="shared" ref="I5:I23" si="0">IFERROR(SUM(G5+H5),"")</f>
        <v>15.6</v>
      </c>
      <c r="J5" s="112">
        <f t="shared" ref="J5:J23" si="1">IFERROR(SUM(H5+I5),"")</f>
        <v>15.6</v>
      </c>
      <c r="K5" s="108"/>
    </row>
    <row r="6" spans="1:11" ht="19.5" customHeight="1" x14ac:dyDescent="0.2">
      <c r="A6" s="109"/>
      <c r="B6" s="148" t="s">
        <v>72</v>
      </c>
      <c r="C6" s="110"/>
      <c r="D6" s="149">
        <v>429</v>
      </c>
      <c r="E6" s="116" t="s">
        <v>14</v>
      </c>
      <c r="F6" s="238" cm="1">
        <f t="array" ref="F6">IFERROR(INDEX(ราคาขนส่ง!$D$3:$D$102,MATCH(1,IF(ราคาขนส่ง!$B$3:$B$102=$B6,IF(ราคาขนส่ง!$C$3:$C$102=$E6,1)),0)),"")</f>
        <v>9.3000000000000007</v>
      </c>
      <c r="G6" s="223">
        <f>IFERROR(IF(F6&gt;10,F6,F6*D6),"")</f>
        <v>3989.7000000000003</v>
      </c>
      <c r="H6" s="149"/>
      <c r="I6" s="111">
        <f t="shared" si="0"/>
        <v>3989.7000000000003</v>
      </c>
      <c r="J6" s="112">
        <f t="shared" si="1"/>
        <v>3989.7000000000003</v>
      </c>
      <c r="K6" s="108"/>
    </row>
    <row r="7" spans="1:11" ht="19.5" customHeight="1" x14ac:dyDescent="0.2">
      <c r="A7" s="109">
        <v>46144</v>
      </c>
      <c r="B7" s="148" t="s">
        <v>26</v>
      </c>
      <c r="C7" s="110" t="s">
        <v>305</v>
      </c>
      <c r="D7" s="149">
        <v>533</v>
      </c>
      <c r="E7" s="116" t="s">
        <v>14</v>
      </c>
      <c r="F7" s="150">
        <f t="array" ref="F7">IFERROR(INDEX(ราคาขนส่ง!$D$3:$D$102,MATCH(1,IF(ราคาขนส่ง!$B$3:$B$102=$B7,IF(ราคาขนส่ง!$C$3:$C$102=$E7,1)),0)),"")</f>
        <v>6.5</v>
      </c>
      <c r="G7" s="150">
        <f t="shared" ref="G7" si="2">IFERROR(IF(F7&gt;10,F7,F7*D7),"")</f>
        <v>3464.5</v>
      </c>
      <c r="H7" s="116"/>
      <c r="I7" s="111">
        <f t="shared" si="0"/>
        <v>3464.5</v>
      </c>
      <c r="J7" s="112">
        <f t="shared" si="1"/>
        <v>3464.5</v>
      </c>
      <c r="K7" s="108"/>
    </row>
    <row r="8" spans="1:11" ht="19.5" customHeight="1" x14ac:dyDescent="0.2">
      <c r="A8" s="109">
        <v>46145</v>
      </c>
      <c r="B8" s="148" t="s">
        <v>34</v>
      </c>
      <c r="C8" s="110" t="s">
        <v>291</v>
      </c>
      <c r="D8" s="149">
        <v>158</v>
      </c>
      <c r="E8" s="116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1650</v>
      </c>
      <c r="G8" s="223">
        <f>IFERROR(IF(F8&gt;10,F8,F8*D8),"")</f>
        <v>1650</v>
      </c>
      <c r="H8" s="149"/>
      <c r="I8" s="111">
        <f t="shared" si="0"/>
        <v>1650</v>
      </c>
      <c r="J8" s="112">
        <f t="shared" si="1"/>
        <v>1650</v>
      </c>
      <c r="K8" s="108"/>
    </row>
    <row r="9" spans="1:11" ht="19.5" customHeight="1" x14ac:dyDescent="0.2">
      <c r="A9" s="109">
        <v>46146</v>
      </c>
      <c r="B9" s="148" t="s">
        <v>34</v>
      </c>
      <c r="C9" s="110" t="s">
        <v>306</v>
      </c>
      <c r="D9" s="149">
        <v>160</v>
      </c>
      <c r="E9" s="116" t="s">
        <v>15</v>
      </c>
      <c r="F9" s="150">
        <f t="array" ref="F9">IFERROR(INDEX(ราคาขนส่ง!$D$3:$D$102,MATCH(1,IF(ราคาขนส่ง!$B$3:$B$102=$B9,IF(ราคาขนส่ง!$C$3:$C$102=$E9,1)),0)),"")</f>
        <v>1650</v>
      </c>
      <c r="G9" s="150">
        <f t="shared" ref="G9" si="3">IFERROR(IF(F9&gt;10,F9,F9*D9),"")</f>
        <v>1650</v>
      </c>
      <c r="H9" s="116"/>
      <c r="I9" s="111">
        <f t="shared" si="0"/>
        <v>1650</v>
      </c>
      <c r="J9" s="112">
        <f t="shared" si="1"/>
        <v>1650</v>
      </c>
      <c r="K9" s="108"/>
    </row>
    <row r="10" spans="1:11" ht="19.5" customHeight="1" x14ac:dyDescent="0.2">
      <c r="A10" s="234">
        <v>46146</v>
      </c>
      <c r="B10" s="235" t="s">
        <v>31</v>
      </c>
      <c r="C10" s="110" t="s">
        <v>308</v>
      </c>
      <c r="D10" s="371">
        <v>13</v>
      </c>
      <c r="E10" s="365" t="s">
        <v>14</v>
      </c>
      <c r="F10" s="364" cm="1">
        <f t="array" ref="F10">IFERROR(INDEX(ราคาขนส่ง!$D$3:$D$102,MATCH(1,IF(ราคาขนส่ง!$B$3:$B$102=$B10,IF(ราคาขนส่ง!$C$3:$C$102=$E10,1)),0)),"")</f>
        <v>5.6</v>
      </c>
      <c r="G10" s="364">
        <f>IFERROR(IF(F10&gt;10,F10,F10*D10),"")</f>
        <v>72.8</v>
      </c>
      <c r="H10" s="236"/>
      <c r="I10" s="239">
        <f>IFERROR(SUM(G10+H10),"")</f>
        <v>72.8</v>
      </c>
      <c r="J10" s="240">
        <f>IFERROR(SUM(H10+I10),"")</f>
        <v>72.8</v>
      </c>
      <c r="K10" s="369"/>
    </row>
    <row r="11" spans="1:11" ht="19.5" customHeight="1" x14ac:dyDescent="0.2">
      <c r="A11" s="234"/>
      <c r="B11" s="235" t="s">
        <v>34</v>
      </c>
      <c r="C11" s="249"/>
      <c r="D11" s="371">
        <v>458</v>
      </c>
      <c r="E11" s="365" t="s">
        <v>14</v>
      </c>
      <c r="F11" s="364" cm="1">
        <f t="array" ref="F11">IFERROR(INDEX(ราคาขนส่ง!$D$3:$D$102,MATCH(1,IF(ราคาขนส่ง!$B$3:$B$102=$B11,IF(ราคาขนส่ง!$C$3:$C$102=$E11,1)),0)),"")</f>
        <v>6.5</v>
      </c>
      <c r="G11" s="364">
        <f>IFERROR(IF(F11&gt;10,F11,F11*D11),"")</f>
        <v>2977</v>
      </c>
      <c r="H11" s="236"/>
      <c r="I11" s="239">
        <f>IFERROR(SUM(G11+H11),"")</f>
        <v>2977</v>
      </c>
      <c r="J11" s="240">
        <f>IFERROR(SUM(H11+I11),"")</f>
        <v>2977</v>
      </c>
      <c r="K11" s="369"/>
    </row>
    <row r="12" spans="1:11" ht="19.5" customHeight="1" x14ac:dyDescent="0.2">
      <c r="A12" s="109">
        <v>46147</v>
      </c>
      <c r="B12" s="148" t="s">
        <v>34</v>
      </c>
      <c r="C12" s="110" t="s">
        <v>307</v>
      </c>
      <c r="D12" s="149">
        <v>445</v>
      </c>
      <c r="E12" s="116" t="s">
        <v>14</v>
      </c>
      <c r="F12" s="223" cm="1">
        <f t="array" ref="F12">IFERROR(INDEX(ราคาขนส่ง!$D$3:$D$102,MATCH(1,IF(ราคาขนส่ง!$B$3:$B$102=$B12,IF(ราคาขนส่ง!$C$3:$C$102=$E12,1)),0)),"")</f>
        <v>6.5</v>
      </c>
      <c r="G12" s="223">
        <f>IFERROR(IF(F12&gt;10,F12,F12*D12),"")</f>
        <v>2892.5</v>
      </c>
      <c r="H12" s="149"/>
      <c r="I12" s="111">
        <f t="shared" si="0"/>
        <v>2892.5</v>
      </c>
      <c r="J12" s="112">
        <f t="shared" si="1"/>
        <v>2892.5</v>
      </c>
      <c r="K12" s="108"/>
    </row>
    <row r="13" spans="1:11" ht="19.5" customHeight="1" x14ac:dyDescent="0.2">
      <c r="A13" s="234">
        <v>46147</v>
      </c>
      <c r="B13" s="148" t="s">
        <v>34</v>
      </c>
      <c r="C13" s="110" t="s">
        <v>310</v>
      </c>
      <c r="D13" s="149">
        <v>163</v>
      </c>
      <c r="E13" s="116" t="s">
        <v>15</v>
      </c>
      <c r="F13" s="238" cm="1">
        <f t="array" ref="F13">IFERROR(INDEX(ราคาขนส่ง!$D$3:$D$102,MATCH(1,IF(ราคาขนส่ง!$B$3:$B$102=$B13,IF(ราคาขนส่ง!$C$3:$C$102=$E13,1)),0)),"")</f>
        <v>1650</v>
      </c>
      <c r="G13" s="238">
        <f>IFERROR(IF(F13&gt;10,F13,F13*D13),"")</f>
        <v>1650</v>
      </c>
      <c r="H13" s="236"/>
      <c r="I13" s="239">
        <f t="shared" si="0"/>
        <v>1650</v>
      </c>
      <c r="J13" s="240">
        <f t="shared" si="1"/>
        <v>1650</v>
      </c>
      <c r="K13" s="108"/>
    </row>
    <row r="14" spans="1:11" ht="19.5" customHeight="1" x14ac:dyDescent="0.2">
      <c r="A14" s="234">
        <v>46148</v>
      </c>
      <c r="B14" s="235" t="s">
        <v>26</v>
      </c>
      <c r="C14" s="110" t="s">
        <v>312</v>
      </c>
      <c r="D14" s="149">
        <v>163</v>
      </c>
      <c r="E14" s="116" t="s">
        <v>15</v>
      </c>
      <c r="F14" s="238" cm="1">
        <f t="array" ref="F14">IFERROR(INDEX(ราคาขนส่ง!$D$3:$D$102,MATCH(1,IF(ราคาขนส่ง!$B$3:$B$102=$B14,IF(ราคาขนส่ง!$C$3:$C$102=$E14,1)),0)),"")</f>
        <v>1650</v>
      </c>
      <c r="G14" s="238">
        <f t="shared" ref="G14:G20" si="4">IFERROR(IF(F14&gt;10,F14,F14*D14),"")</f>
        <v>1650</v>
      </c>
      <c r="H14" s="236"/>
      <c r="I14" s="239">
        <f t="shared" ref="I14:I20" si="5">IFERROR(SUM(G14+H14),"")</f>
        <v>1650</v>
      </c>
      <c r="J14" s="240">
        <f t="shared" ref="J14:J20" si="6">IFERROR(SUM(H14+I14),"")</f>
        <v>1650</v>
      </c>
      <c r="K14" s="108"/>
    </row>
    <row r="15" spans="1:11" ht="19.5" customHeight="1" x14ac:dyDescent="0.2">
      <c r="A15" s="234">
        <v>46150</v>
      </c>
      <c r="B15" s="235" t="s">
        <v>72</v>
      </c>
      <c r="C15" s="110" t="s">
        <v>313</v>
      </c>
      <c r="D15" s="149">
        <v>226</v>
      </c>
      <c r="E15" s="116" t="s">
        <v>15</v>
      </c>
      <c r="F15" s="238" cm="1">
        <f t="array" ref="F15">IFERROR(INDEX(ราคาขนส่ง!$D$3:$D$102,MATCH(1,IF(ราคาขนส่ง!$B$3:$B$102=$B15,IF(ราคาขนส่ง!$C$3:$C$102=$E15,1)),0)),"")</f>
        <v>2500</v>
      </c>
      <c r="G15" s="238">
        <f t="shared" si="4"/>
        <v>2500</v>
      </c>
      <c r="H15" s="236"/>
      <c r="I15" s="239">
        <f t="shared" si="5"/>
        <v>2500</v>
      </c>
      <c r="J15" s="240">
        <f t="shared" si="6"/>
        <v>2500</v>
      </c>
      <c r="K15" s="242"/>
    </row>
    <row r="16" spans="1:11" ht="19.5" customHeight="1" x14ac:dyDescent="0.2">
      <c r="A16" s="234">
        <v>46151</v>
      </c>
      <c r="B16" s="235" t="s">
        <v>34</v>
      </c>
      <c r="C16" s="110" t="s">
        <v>314</v>
      </c>
      <c r="D16" s="149">
        <v>147</v>
      </c>
      <c r="E16" s="237" t="s">
        <v>15</v>
      </c>
      <c r="F16" s="238" cm="1">
        <f t="array" ref="F16">IFERROR(INDEX(ราคาขนส่ง!$D$3:$D$102,MATCH(1,IF(ราคาขนส่ง!$B$3:$B$102=$B16,IF(ราคาขนส่ง!$C$3:$C$102=$E16,1)),0)),"")</f>
        <v>1650</v>
      </c>
      <c r="G16" s="238">
        <f t="shared" si="4"/>
        <v>1650</v>
      </c>
      <c r="H16" s="236"/>
      <c r="I16" s="239">
        <f t="shared" si="5"/>
        <v>1650</v>
      </c>
      <c r="J16" s="240">
        <f t="shared" si="6"/>
        <v>1650</v>
      </c>
      <c r="K16" s="242"/>
    </row>
    <row r="17" spans="1:14" ht="19.5" customHeight="1" x14ac:dyDescent="0.2">
      <c r="A17" s="234">
        <v>46152</v>
      </c>
      <c r="B17" s="235" t="s">
        <v>26</v>
      </c>
      <c r="C17" s="110" t="s">
        <v>315</v>
      </c>
      <c r="D17" s="149">
        <v>100</v>
      </c>
      <c r="E17" s="237" t="s">
        <v>15</v>
      </c>
      <c r="F17" s="364" cm="1">
        <f t="array" ref="F17">IFERROR(INDEX(ราคาขนส่ง!$D$3:$D$102,MATCH(1,IF(ราคาขนส่ง!$B$3:$B$102=$B17,IF(ราคาขนส่ง!$C$3:$C$102=$E17,1)),0)),"")</f>
        <v>1650</v>
      </c>
      <c r="G17" s="364">
        <f>IFERROR(IF(F17&gt;10,F17,F17*D17),"")</f>
        <v>1650</v>
      </c>
      <c r="H17" s="236"/>
      <c r="I17" s="239">
        <f>IFERROR(SUM(G17+H17),"")</f>
        <v>1650</v>
      </c>
      <c r="J17" s="240">
        <f>IFERROR(SUM(H17+I17),"")</f>
        <v>1650</v>
      </c>
      <c r="K17" s="369"/>
    </row>
    <row r="18" spans="1:14" ht="19.5" customHeight="1" x14ac:dyDescent="0.2">
      <c r="A18" s="234">
        <v>46153</v>
      </c>
      <c r="B18" s="235" t="s">
        <v>26</v>
      </c>
      <c r="C18" s="110" t="s">
        <v>316</v>
      </c>
      <c r="D18" s="149">
        <v>154</v>
      </c>
      <c r="E18" s="237" t="s">
        <v>15</v>
      </c>
      <c r="F18" s="364" cm="1">
        <f t="array" ref="F18">IFERROR(INDEX(ราคาขนส่ง!$D$3:$D$102,MATCH(1,IF(ราคาขนส่ง!$B$3:$B$102=$B18,IF(ราคาขนส่ง!$C$3:$C$102=$E18,1)),0)),"")</f>
        <v>1650</v>
      </c>
      <c r="G18" s="364">
        <f t="shared" ref="G18:G19" si="7">IFERROR(IF(F18&gt;10,F18,F18*D18),"")</f>
        <v>1650</v>
      </c>
      <c r="H18" s="236"/>
      <c r="I18" s="239">
        <f t="shared" ref="I18:I19" si="8">IFERROR(SUM(G18+H18),"")</f>
        <v>1650</v>
      </c>
      <c r="J18" s="240">
        <f t="shared" ref="J18:J19" si="9">IFERROR(SUM(H18+I18),"")</f>
        <v>1650</v>
      </c>
      <c r="K18" s="369"/>
    </row>
    <row r="19" spans="1:14" ht="19.5" customHeight="1" x14ac:dyDescent="0.2">
      <c r="A19" s="234">
        <v>46154</v>
      </c>
      <c r="B19" s="235" t="s">
        <v>72</v>
      </c>
      <c r="C19" s="110" t="s">
        <v>318</v>
      </c>
      <c r="D19" s="149">
        <v>420</v>
      </c>
      <c r="E19" s="237" t="s">
        <v>14</v>
      </c>
      <c r="F19" s="364" cm="1">
        <f t="array" ref="F19">IFERROR(INDEX(ราคาขนส่ง!$D$3:$D$102,MATCH(1,IF(ราคาขนส่ง!$B$3:$B$102=$B19,IF(ราคาขนส่ง!$C$3:$C$102=$E19,1)),0)),"")</f>
        <v>9.3000000000000007</v>
      </c>
      <c r="G19" s="364">
        <f t="shared" si="7"/>
        <v>3906.0000000000005</v>
      </c>
      <c r="H19" s="236"/>
      <c r="I19" s="239">
        <f t="shared" si="8"/>
        <v>3906.0000000000005</v>
      </c>
      <c r="J19" s="240">
        <f t="shared" si="9"/>
        <v>3906.0000000000005</v>
      </c>
      <c r="K19" s="369"/>
    </row>
    <row r="20" spans="1:14" ht="19.5" customHeight="1" x14ac:dyDescent="0.2">
      <c r="A20" s="234">
        <v>46155</v>
      </c>
      <c r="B20" s="235" t="s">
        <v>27</v>
      </c>
      <c r="C20" s="110" t="s">
        <v>320</v>
      </c>
      <c r="D20" s="149">
        <v>191</v>
      </c>
      <c r="E20" s="237" t="s">
        <v>15</v>
      </c>
      <c r="F20" s="238" cm="1">
        <f t="array" ref="F20">IFERROR(INDEX(ราคาขนส่ง!$D$3:$D$102,MATCH(1,IF(ราคาขนส่ง!$B$3:$B$102=$B20,IF(ราคาขนส่ง!$C$3:$C$102=$E20,1)),0)),"")</f>
        <v>1650</v>
      </c>
      <c r="G20" s="238">
        <f t="shared" si="4"/>
        <v>1650</v>
      </c>
      <c r="H20" s="236"/>
      <c r="I20" s="239">
        <f t="shared" si="5"/>
        <v>1650</v>
      </c>
      <c r="J20" s="240">
        <f t="shared" si="6"/>
        <v>1650</v>
      </c>
      <c r="K20" s="242"/>
    </row>
    <row r="21" spans="1:14" ht="19.5" customHeight="1" x14ac:dyDescent="0.2">
      <c r="A21" s="234">
        <v>46156</v>
      </c>
      <c r="B21" s="235" t="s">
        <v>60</v>
      </c>
      <c r="C21" s="110" t="s">
        <v>321</v>
      </c>
      <c r="D21" s="149">
        <v>159</v>
      </c>
      <c r="E21" s="365" t="s">
        <v>15</v>
      </c>
      <c r="F21" s="364" cm="1">
        <f t="array" ref="F21">IFERROR(INDEX(ราคาขนส่ง!$D$3:$D$102,MATCH(1,IF(ราคาขนส่ง!$B$3:$B$102=$B21,IF(ราคาขนส่ง!$C$3:$C$102=$E21,1)),0)),"")</f>
        <v>1300</v>
      </c>
      <c r="G21" s="364">
        <f>IFERROR(IF(F21&gt;10,F21,F21*D21),"")</f>
        <v>1300</v>
      </c>
      <c r="H21" s="236"/>
      <c r="I21" s="239">
        <f t="shared" ref="I21:J22" si="10">IFERROR(SUM(G21+H21),"")</f>
        <v>1300</v>
      </c>
      <c r="J21" s="240">
        <f t="shared" si="10"/>
        <v>1300</v>
      </c>
      <c r="K21" s="369"/>
    </row>
    <row r="22" spans="1:14" ht="19.5" customHeight="1" x14ac:dyDescent="0.2">
      <c r="A22" s="234">
        <v>46157</v>
      </c>
      <c r="B22" s="235" t="s">
        <v>26</v>
      </c>
      <c r="C22" s="110" t="s">
        <v>322</v>
      </c>
      <c r="D22" s="149">
        <v>141</v>
      </c>
      <c r="E22" s="365" t="s">
        <v>15</v>
      </c>
      <c r="F22" s="364" cm="1">
        <f t="array" ref="F22">IFERROR(INDEX(ราคาขนส่ง!$D$3:$D$102,MATCH(1,IF(ราคาขนส่ง!$B$3:$B$102=$B22,IF(ราคาขนส่ง!$C$3:$C$102=$E22,1)),0)),"")</f>
        <v>1650</v>
      </c>
      <c r="G22" s="364">
        <f>IFERROR(IF(F22&gt;10,F22,F22*D22),"")</f>
        <v>1650</v>
      </c>
      <c r="H22" s="236"/>
      <c r="I22" s="239">
        <f t="shared" si="10"/>
        <v>1650</v>
      </c>
      <c r="J22" s="240">
        <f t="shared" si="10"/>
        <v>1650</v>
      </c>
      <c r="K22" s="369"/>
    </row>
    <row r="23" spans="1:14" ht="17.25" customHeight="1" x14ac:dyDescent="0.2">
      <c r="A23" s="234"/>
      <c r="B23" s="235"/>
      <c r="C23" s="249"/>
      <c r="D23" s="236"/>
      <c r="E23" s="237" t="s">
        <v>14</v>
      </c>
      <c r="F23" s="241" t="str">
        <f t="array" ref="F23">IFERROR(INDEX(ราคาขนส่ง!$D$3:$D$102,MATCH(1,IF(ราคาขนส่ง!$B$3:$B$102=$B23,IF(ราคาขนส่ง!$C$3:$C$102=$E23,1)),0)),"")</f>
        <v/>
      </c>
      <c r="G23" s="241" t="str">
        <f t="shared" ref="G23" si="11">IFERROR(IF(F23&gt;10,F23,F23*D23),"")</f>
        <v/>
      </c>
      <c r="H23" s="237"/>
      <c r="I23" s="239" t="str">
        <f t="shared" si="0"/>
        <v/>
      </c>
      <c r="J23" s="240" t="str">
        <f t="shared" si="1"/>
        <v/>
      </c>
      <c r="K23" s="242"/>
    </row>
    <row r="24" spans="1:14" ht="23.25" x14ac:dyDescent="0.2">
      <c r="A24" s="22"/>
      <c r="B24" s="24" t="s">
        <v>7</v>
      </c>
      <c r="C24" s="17"/>
      <c r="D24" s="24">
        <f>SUM(D5:D23)</f>
        <v>4062</v>
      </c>
      <c r="E24" s="24"/>
      <c r="F24" s="25"/>
      <c r="G24" s="55"/>
      <c r="H24" s="147"/>
      <c r="I24" s="64">
        <f>SUM(I5:I23)</f>
        <v>35968.1</v>
      </c>
      <c r="J24" s="65">
        <f>SUM(J5:J23)</f>
        <v>35968.1</v>
      </c>
      <c r="K24" s="56"/>
    </row>
    <row r="25" spans="1:14" ht="18.75" customHeight="1" x14ac:dyDescent="0.2">
      <c r="A25" s="26" t="s">
        <v>8</v>
      </c>
      <c r="B25" s="11"/>
      <c r="C25" s="57"/>
      <c r="D25" s="10"/>
      <c r="E25" s="10"/>
      <c r="F25" s="11"/>
      <c r="G25" s="19"/>
      <c r="H25" s="20"/>
      <c r="I25" s="58"/>
      <c r="J25" s="58"/>
      <c r="K25" s="59"/>
    </row>
    <row r="26" spans="1:14" ht="22.5" customHeight="1" x14ac:dyDescent="0.2">
      <c r="A26" s="12"/>
      <c r="B26" s="171" t="s">
        <v>9</v>
      </c>
      <c r="C26" s="172">
        <f>J24</f>
        <v>35968.1</v>
      </c>
      <c r="D26" s="171" t="s">
        <v>10</v>
      </c>
      <c r="E26" s="171"/>
      <c r="F26" s="27"/>
      <c r="G26" s="19"/>
      <c r="H26" s="20"/>
      <c r="I26" s="58"/>
      <c r="J26" s="58"/>
      <c r="K26" s="59"/>
    </row>
    <row r="27" spans="1:14" ht="22.5" customHeight="1" x14ac:dyDescent="0.2">
      <c r="A27" s="37"/>
      <c r="B27" s="171" t="s">
        <v>11</v>
      </c>
      <c r="C27" s="173">
        <f>SUM(C26/100)</f>
        <v>359.68099999999998</v>
      </c>
      <c r="D27" s="171" t="s">
        <v>10</v>
      </c>
      <c r="E27" s="171"/>
      <c r="F27" s="49"/>
      <c r="G27" s="46"/>
      <c r="H27" s="47"/>
      <c r="I27" s="48"/>
      <c r="J27" s="48"/>
      <c r="K27" s="18"/>
    </row>
    <row r="28" spans="1:14" ht="22.5" customHeight="1" x14ac:dyDescent="0.2">
      <c r="A28" s="37"/>
      <c r="B28" s="174" t="s">
        <v>74</v>
      </c>
      <c r="C28" s="175">
        <f>+Table4567891011121314[[#Totals],[เป็นจำนวนเงิน(บาท)]]</f>
        <v>12500</v>
      </c>
      <c r="D28" s="174" t="s">
        <v>10</v>
      </c>
      <c r="E28" s="176"/>
      <c r="F28" s="50"/>
      <c r="G28" s="46"/>
      <c r="H28" s="47"/>
      <c r="I28" s="48"/>
      <c r="J28" s="48"/>
      <c r="K28" s="18"/>
    </row>
    <row r="29" spans="1:14" ht="22.5" customHeight="1" x14ac:dyDescent="0.2">
      <c r="A29" s="37"/>
      <c r="B29" s="177" t="str">
        <f>+รายการหัก!C2</f>
        <v>ค่าอัพเดทบิล</v>
      </c>
      <c r="C29" s="178">
        <f>+รายการหัก!C11</f>
        <v>0</v>
      </c>
      <c r="D29" s="177" t="s">
        <v>10</v>
      </c>
      <c r="E29" s="176"/>
      <c r="F29" s="50"/>
      <c r="G29" s="46"/>
      <c r="H29" s="47"/>
      <c r="I29" s="48"/>
      <c r="J29" s="48"/>
      <c r="K29" s="18"/>
    </row>
    <row r="30" spans="1:14" ht="22.5" customHeight="1" x14ac:dyDescent="0.2">
      <c r="A30" s="37"/>
      <c r="B30" s="179" t="str">
        <f>+รายการหัก!D2</f>
        <v>หักค่าโทรศัพท์</v>
      </c>
      <c r="C30" s="180">
        <f>+รายการหัก!D11</f>
        <v>0</v>
      </c>
      <c r="D30" s="179" t="s">
        <v>10</v>
      </c>
      <c r="E30" s="181"/>
      <c r="F30" s="45"/>
      <c r="G30" s="46"/>
      <c r="H30" s="47"/>
      <c r="I30" s="48"/>
      <c r="J30" s="48"/>
      <c r="K30" s="18"/>
    </row>
    <row r="31" spans="1:14" ht="22.5" customHeight="1" x14ac:dyDescent="0.2">
      <c r="A31" s="37"/>
      <c r="B31" s="182" t="str">
        <f>+รายการหัก!E2</f>
        <v>หักค่าGPS</v>
      </c>
      <c r="C31" s="163">
        <f>+รายการหัก!E11</f>
        <v>0</v>
      </c>
      <c r="D31" s="182" t="s">
        <v>10</v>
      </c>
      <c r="E31" s="163">
        <f>+รายการหัก!F11</f>
        <v>0</v>
      </c>
      <c r="F31" s="45"/>
      <c r="G31" s="46"/>
      <c r="H31" s="47"/>
      <c r="I31" s="48"/>
      <c r="J31" s="48"/>
      <c r="K31" s="18"/>
      <c r="N31" s="68" t="s">
        <v>143</v>
      </c>
    </row>
    <row r="32" spans="1:14" ht="22.5" customHeight="1" x14ac:dyDescent="0.2">
      <c r="A32" s="37"/>
      <c r="B32" s="183" t="str">
        <f>+รายการหัก!G2</f>
        <v>หักค่ายืมเงิน</v>
      </c>
      <c r="C32" s="164">
        <f>+รายการหัก!G11</f>
        <v>0</v>
      </c>
      <c r="D32" s="183" t="s">
        <v>10</v>
      </c>
      <c r="E32" s="164">
        <f>+รายการหัก!H11</f>
        <v>0</v>
      </c>
      <c r="F32" s="45"/>
      <c r="G32" s="46"/>
      <c r="H32" s="47"/>
      <c r="I32" s="48"/>
      <c r="J32" s="48"/>
      <c r="K32" s="18"/>
    </row>
    <row r="33" spans="1:11" ht="22.5" customHeight="1" x14ac:dyDescent="0.2">
      <c r="A33" s="37"/>
      <c r="B33" s="184" t="str">
        <f>+รายการหัก!I2</f>
        <v>หักค่าสัญญาณGPS รายปี</v>
      </c>
      <c r="C33" s="165">
        <f>+รายการหัก!I11</f>
        <v>0</v>
      </c>
      <c r="D33" s="185" t="s">
        <v>10</v>
      </c>
      <c r="E33" s="165">
        <f>+รายการหัก!J11</f>
        <v>0</v>
      </c>
      <c r="F33" s="51"/>
      <c r="G33" s="46"/>
      <c r="H33" s="47"/>
      <c r="I33" s="48"/>
      <c r="J33" s="48"/>
      <c r="K33" s="18"/>
    </row>
    <row r="34" spans="1:11" ht="22.5" customHeight="1" x14ac:dyDescent="0.2">
      <c r="A34" s="37"/>
      <c r="B34" s="186" t="str">
        <f>+รายการหัก!K2</f>
        <v>หักค่าประกัน</v>
      </c>
      <c r="C34" s="166">
        <f>+รายการหัก!K11</f>
        <v>0</v>
      </c>
      <c r="D34" s="187" t="s">
        <v>10</v>
      </c>
      <c r="E34" s="166">
        <f>+รายการหัก!L11</f>
        <v>0</v>
      </c>
      <c r="F34" s="51"/>
      <c r="G34" s="46"/>
      <c r="H34" s="47"/>
      <c r="I34" s="48"/>
      <c r="J34" s="48"/>
      <c r="K34" s="18"/>
    </row>
    <row r="35" spans="1:11" ht="22.5" customHeight="1" x14ac:dyDescent="0.2">
      <c r="A35" s="38"/>
      <c r="B35" s="188" t="s">
        <v>12</v>
      </c>
      <c r="C35" s="189">
        <f>SUM(C26-C27-C28+C29-C30-C31-C32-C33-C34)</f>
        <v>23108.419000000002</v>
      </c>
      <c r="D35" s="188" t="s">
        <v>10</v>
      </c>
      <c r="E35" s="190"/>
      <c r="F35" s="52"/>
    </row>
    <row r="36" spans="1:11" ht="22.5" customHeight="1" x14ac:dyDescent="0.2">
      <c r="B36" s="222" t="s">
        <v>137</v>
      </c>
      <c r="C36" s="147"/>
      <c r="D36" s="147"/>
      <c r="E36" s="147"/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23" xr:uid="{5C1229D9-80ED-439A-B8D5-0B718F82BF8F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4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DCE697-160F-4D6B-9932-43A49765DA03}">
          <x14:formula1>
            <xm:f>ราคาขนส่ง!$B$3:$B$52</xm:f>
          </x14:formula1>
          <xm:sqref>B5:B23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5196-4192-4F83-B5AE-43B5D4F6C6FE}">
  <sheetPr>
    <tabColor theme="5" tint="0.39997558519241921"/>
  </sheetPr>
  <dimension ref="A1:D17"/>
  <sheetViews>
    <sheetView zoomScaleNormal="100" workbookViewId="0">
      <selection activeCell="A17" sqref="A17"/>
    </sheetView>
  </sheetViews>
  <sheetFormatPr defaultColWidth="7.125" defaultRowHeight="21" x14ac:dyDescent="0.45"/>
  <cols>
    <col min="1" max="1" width="8.8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+'ผฉ-3572'!E2</f>
        <v>ผฉ-3572</v>
      </c>
      <c r="D2" s="90" t="str">
        <f>+'ผฉ-3572'!I2</f>
        <v>นายสุทัศน์ เสือเลี้ยง</v>
      </c>
    </row>
    <row r="3" spans="1:4" ht="16.5" x14ac:dyDescent="0.35">
      <c r="A3" s="33"/>
    </row>
    <row r="4" spans="1:4" ht="26.25" x14ac:dyDescent="0.35">
      <c r="A4" s="301" t="s">
        <v>13</v>
      </c>
      <c r="B4" s="302" t="s">
        <v>98</v>
      </c>
      <c r="C4" s="302" t="s">
        <v>99</v>
      </c>
      <c r="D4" s="303" t="s">
        <v>100</v>
      </c>
    </row>
    <row r="5" spans="1:4" ht="45" customHeight="1" x14ac:dyDescent="0.55000000000000004">
      <c r="A5" s="77">
        <v>1</v>
      </c>
      <c r="B5" s="78">
        <v>46143</v>
      </c>
      <c r="C5" s="79" t="s">
        <v>188</v>
      </c>
      <c r="D5" s="80">
        <v>1500</v>
      </c>
    </row>
    <row r="6" spans="1:4" ht="45" customHeight="1" x14ac:dyDescent="0.55000000000000004">
      <c r="A6" s="77">
        <v>2</v>
      </c>
      <c r="B6" s="78">
        <v>46143</v>
      </c>
      <c r="C6" s="79" t="s">
        <v>189</v>
      </c>
      <c r="D6" s="80">
        <v>1000</v>
      </c>
    </row>
    <row r="7" spans="1:4" ht="45" customHeight="1" x14ac:dyDescent="0.55000000000000004">
      <c r="A7" s="77">
        <v>3</v>
      </c>
      <c r="B7" s="78">
        <v>46146</v>
      </c>
      <c r="C7" s="79" t="s">
        <v>190</v>
      </c>
      <c r="D7" s="80">
        <v>1000</v>
      </c>
    </row>
    <row r="8" spans="1:4" ht="45" customHeight="1" x14ac:dyDescent="0.55000000000000004">
      <c r="A8" s="77">
        <v>4</v>
      </c>
      <c r="B8" s="78">
        <v>46147</v>
      </c>
      <c r="C8" s="79" t="s">
        <v>191</v>
      </c>
      <c r="D8" s="80">
        <v>1000</v>
      </c>
    </row>
    <row r="9" spans="1:4" ht="45" customHeight="1" x14ac:dyDescent="0.55000000000000004">
      <c r="A9" s="77">
        <v>5</v>
      </c>
      <c r="B9" s="78">
        <v>46148</v>
      </c>
      <c r="C9" s="79" t="s">
        <v>192</v>
      </c>
      <c r="D9" s="80">
        <v>1000</v>
      </c>
    </row>
    <row r="10" spans="1:4" ht="45" customHeight="1" x14ac:dyDescent="0.55000000000000004">
      <c r="A10" s="77">
        <v>6</v>
      </c>
      <c r="B10" s="78">
        <v>46149</v>
      </c>
      <c r="C10" s="79" t="s">
        <v>193</v>
      </c>
      <c r="D10" s="80">
        <v>1500</v>
      </c>
    </row>
    <row r="11" spans="1:4" ht="45" customHeight="1" x14ac:dyDescent="0.55000000000000004">
      <c r="A11" s="77">
        <v>7</v>
      </c>
      <c r="B11" s="360">
        <v>46150</v>
      </c>
      <c r="C11" s="361" t="s">
        <v>194</v>
      </c>
      <c r="D11" s="80">
        <v>1000</v>
      </c>
    </row>
    <row r="12" spans="1:4" ht="45" customHeight="1" x14ac:dyDescent="0.55000000000000004">
      <c r="A12" s="77">
        <v>8</v>
      </c>
      <c r="B12" s="360">
        <v>46151</v>
      </c>
      <c r="C12" s="361" t="s">
        <v>195</v>
      </c>
      <c r="D12" s="80">
        <v>1000</v>
      </c>
    </row>
    <row r="13" spans="1:4" ht="45" customHeight="1" x14ac:dyDescent="0.55000000000000004">
      <c r="A13" s="77">
        <v>9</v>
      </c>
      <c r="B13" s="360">
        <v>46153</v>
      </c>
      <c r="C13" s="361" t="s">
        <v>196</v>
      </c>
      <c r="D13" s="80">
        <v>1000</v>
      </c>
    </row>
    <row r="14" spans="1:4" ht="45" customHeight="1" x14ac:dyDescent="0.55000000000000004">
      <c r="A14" s="77">
        <v>10</v>
      </c>
      <c r="B14" s="360">
        <v>46154</v>
      </c>
      <c r="C14" s="361" t="s">
        <v>197</v>
      </c>
      <c r="D14" s="80">
        <v>1000</v>
      </c>
    </row>
    <row r="15" spans="1:4" ht="45" customHeight="1" x14ac:dyDescent="0.55000000000000004">
      <c r="A15" s="77">
        <v>11</v>
      </c>
      <c r="B15" s="360">
        <v>46155</v>
      </c>
      <c r="C15" s="361" t="s">
        <v>198</v>
      </c>
      <c r="D15" s="80">
        <v>500</v>
      </c>
    </row>
    <row r="16" spans="1:4" ht="45" customHeight="1" x14ac:dyDescent="0.55000000000000004">
      <c r="A16" s="77">
        <v>12</v>
      </c>
      <c r="B16" s="360">
        <v>46156</v>
      </c>
      <c r="C16" s="361" t="s">
        <v>199</v>
      </c>
      <c r="D16" s="80">
        <v>1000</v>
      </c>
    </row>
    <row r="17" spans="1:4" ht="41.25" customHeight="1" x14ac:dyDescent="0.55000000000000004">
      <c r="A17" s="304" t="s">
        <v>101</v>
      </c>
      <c r="B17" s="305"/>
      <c r="C17" s="305"/>
      <c r="D17" s="306">
        <f>SUBTOTAL(109,Table4567891011121314[เป็นจำนวนเงิน(บาท)])</f>
        <v>12500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3B0C-DAD2-48A9-8E1F-12D3A8989B8A}">
  <sheetPr>
    <tabColor rgb="FFFF0000"/>
  </sheetPr>
  <dimension ref="A1:K23"/>
  <sheetViews>
    <sheetView showWhiteSpace="0" zoomScaleNormal="100" workbookViewId="0">
      <selection activeCell="A5" sqref="A5:J7"/>
    </sheetView>
  </sheetViews>
  <sheetFormatPr defaultColWidth="7.125" defaultRowHeight="21" x14ac:dyDescent="0.45"/>
  <cols>
    <col min="1" max="1" width="8.875" style="39" bestFit="1" customWidth="1"/>
    <col min="2" max="2" width="15.875" style="33" customWidth="1"/>
    <col min="3" max="3" width="10.875" style="33" bestFit="1" customWidth="1"/>
    <col min="4" max="4" width="8.5" style="33" customWidth="1"/>
    <col min="5" max="5" width="9.125" style="33" customWidth="1"/>
    <col min="6" max="6" width="8.25" style="33" customWidth="1"/>
    <col min="7" max="7" width="7.5" style="33" customWidth="1"/>
    <col min="8" max="8" width="3.125" style="33" customWidth="1"/>
    <col min="9" max="9" width="8.125" style="33" customWidth="1"/>
    <col min="10" max="10" width="10.625" style="33" customWidth="1"/>
    <col min="11" max="11" width="7.125" style="33" customWidth="1"/>
    <col min="12" max="16384" width="7.125" style="33"/>
  </cols>
  <sheetData>
    <row r="1" spans="1:11" ht="26.25" x14ac:dyDescent="0.55000000000000004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</row>
    <row r="2" spans="1:11" ht="23.25" x14ac:dyDescent="0.5">
      <c r="A2" s="383" t="str">
        <f>+รายการหัก!I1</f>
        <v>รอบวันที่ 1-15 พฤษภาคม 2569</v>
      </c>
      <c r="B2" s="383"/>
      <c r="C2" s="119"/>
      <c r="D2" s="120" t="s">
        <v>41</v>
      </c>
      <c r="E2" s="21" t="s">
        <v>94</v>
      </c>
      <c r="F2" s="121"/>
      <c r="G2" s="121"/>
      <c r="H2" s="122"/>
      <c r="I2" s="119" t="str">
        <f>VLOOKUP(E2,Table22[],2,0)</f>
        <v>นายสุเมธ ทรัพย์สำราญ</v>
      </c>
      <c r="J2" s="119"/>
    </row>
    <row r="3" spans="1:11" ht="24" customHeight="1" x14ac:dyDescent="0.4">
      <c r="A3" s="377" t="str">
        <f>+รายการหัก!B1</f>
        <v>เงินออกรอบ 5</v>
      </c>
      <c r="B3" s="377"/>
      <c r="C3" s="123"/>
      <c r="D3" s="124"/>
      <c r="E3" s="124"/>
      <c r="F3" s="124"/>
      <c r="G3" s="124"/>
      <c r="H3" s="122"/>
      <c r="I3" s="125"/>
      <c r="J3" s="125"/>
      <c r="K3" s="126"/>
    </row>
    <row r="4" spans="1:11" x14ac:dyDescent="0.35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8.5" customHeight="1" x14ac:dyDescent="0.35">
      <c r="A5" s="109"/>
      <c r="B5" s="148"/>
      <c r="C5" s="110"/>
      <c r="D5" s="149"/>
      <c r="E5" s="116"/>
      <c r="F5" s="150"/>
      <c r="G5" s="150"/>
      <c r="H5" s="116"/>
      <c r="I5" s="111"/>
      <c r="J5" s="112"/>
      <c r="K5" s="307"/>
    </row>
    <row r="6" spans="1:11" ht="28.5" customHeight="1" x14ac:dyDescent="0.35">
      <c r="A6" s="109"/>
      <c r="B6" s="148"/>
      <c r="C6" s="110"/>
      <c r="D6" s="149"/>
      <c r="E6" s="116"/>
      <c r="F6" s="150"/>
      <c r="G6" s="150"/>
      <c r="H6" s="116"/>
      <c r="I6" s="111"/>
      <c r="J6" s="112"/>
      <c r="K6" s="307"/>
    </row>
    <row r="7" spans="1:11" ht="28.5" customHeight="1" x14ac:dyDescent="0.35">
      <c r="A7" s="109"/>
      <c r="B7" s="148"/>
      <c r="C7" s="110"/>
      <c r="D7" s="149"/>
      <c r="E7" s="116"/>
      <c r="F7" s="223"/>
      <c r="G7" s="223"/>
      <c r="H7" s="149"/>
      <c r="I7" s="111"/>
      <c r="J7" s="112"/>
      <c r="K7" s="307"/>
    </row>
    <row r="8" spans="1:11" ht="28.5" customHeight="1" x14ac:dyDescent="0.35">
      <c r="A8" s="109"/>
      <c r="B8" s="148"/>
      <c r="C8" s="110"/>
      <c r="D8" s="149"/>
      <c r="E8" s="116" t="s">
        <v>15</v>
      </c>
      <c r="F8" s="150" t="str">
        <f t="array" ref="F8">IFERROR(INDEX(ราคาขนส่ง!$D$3:$D$102,MATCH(1,IF(ราคาขนส่ง!$B$3:$B$102=$B8,IF(ราคาขนส่ง!$C$3:$C$102=$E8,1)),0)),"")</f>
        <v/>
      </c>
      <c r="G8" s="150" t="str">
        <f t="shared" ref="G8" si="0">IFERROR(IF(F8&gt;10,F8,F8*D8),"")</f>
        <v/>
      </c>
      <c r="H8" s="116"/>
      <c r="I8" s="111" t="str">
        <f t="shared" ref="I8" si="1">IFERROR(SUM(G8+H8),"")</f>
        <v/>
      </c>
      <c r="J8" s="112" t="str">
        <f t="shared" ref="J8" si="2">IFERROR(SUM(H8+I8),"")</f>
        <v/>
      </c>
      <c r="K8" s="108"/>
    </row>
    <row r="9" spans="1:11" ht="23.25" x14ac:dyDescent="0.6">
      <c r="A9" s="127"/>
      <c r="B9" s="128" t="s">
        <v>7</v>
      </c>
      <c r="C9" s="129"/>
      <c r="D9" s="128">
        <f>SUM(D5:D8)</f>
        <v>0</v>
      </c>
      <c r="E9" s="128"/>
      <c r="F9" s="130"/>
      <c r="G9" s="131"/>
      <c r="I9" s="132">
        <f>SUM(I5:I8)</f>
        <v>0</v>
      </c>
      <c r="J9" s="133">
        <f>SUM(J5:J8)</f>
        <v>0</v>
      </c>
      <c r="K9" s="134"/>
    </row>
    <row r="10" spans="1:11" ht="23.25" x14ac:dyDescent="0.5">
      <c r="A10" s="135" t="s">
        <v>8</v>
      </c>
      <c r="B10" s="136"/>
      <c r="C10" s="137"/>
      <c r="D10" s="138"/>
      <c r="E10" s="138"/>
      <c r="F10" s="136"/>
      <c r="G10" s="139"/>
      <c r="H10" s="140"/>
      <c r="I10" s="141"/>
      <c r="J10" s="141"/>
      <c r="K10" s="142"/>
    </row>
    <row r="11" spans="1:11" ht="23.25" x14ac:dyDescent="0.5">
      <c r="A11" s="143"/>
      <c r="B11" s="191" t="s">
        <v>9</v>
      </c>
      <c r="C11" s="192">
        <f>J9</f>
        <v>0</v>
      </c>
      <c r="D11" s="191" t="s">
        <v>10</v>
      </c>
      <c r="E11" s="191"/>
      <c r="F11" s="31"/>
      <c r="G11" s="139"/>
      <c r="H11" s="140"/>
      <c r="I11" s="141"/>
      <c r="J11" s="141"/>
      <c r="K11" s="142"/>
    </row>
    <row r="12" spans="1:11" ht="23.25" x14ac:dyDescent="0.5">
      <c r="A12" s="143"/>
      <c r="B12" s="191" t="s">
        <v>11</v>
      </c>
      <c r="C12" s="193">
        <f>SUM(C11/100)</f>
        <v>0</v>
      </c>
      <c r="D12" s="191" t="s">
        <v>10</v>
      </c>
      <c r="E12" s="191"/>
      <c r="F12" s="31"/>
      <c r="G12" s="139"/>
      <c r="H12" s="140"/>
      <c r="I12" s="141"/>
      <c r="J12" s="141"/>
      <c r="K12" s="142"/>
    </row>
    <row r="13" spans="1:11" ht="23.25" x14ac:dyDescent="0.5">
      <c r="A13" s="143"/>
      <c r="B13" s="174" t="s">
        <v>74</v>
      </c>
      <c r="C13" s="194">
        <f>+Table45678910111213141517181920212228[[#Totals],[เป็นจำนวนเงิน(บาท)]]</f>
        <v>0</v>
      </c>
      <c r="D13" s="195" t="s">
        <v>10</v>
      </c>
      <c r="E13" s="196"/>
      <c r="F13" s="144"/>
      <c r="G13" s="139"/>
      <c r="H13" s="140"/>
      <c r="I13" s="141"/>
      <c r="J13" s="141"/>
      <c r="K13" s="142"/>
    </row>
    <row r="14" spans="1:11" ht="23.25" x14ac:dyDescent="0.5">
      <c r="A14" s="143"/>
      <c r="B14" s="177" t="str">
        <f>+รายการหัก!C2</f>
        <v>ค่าอัพเดทบิล</v>
      </c>
      <c r="C14" s="178">
        <f>+รายการหัก!C15</f>
        <v>0</v>
      </c>
      <c r="D14" s="177" t="s">
        <v>10</v>
      </c>
      <c r="E14" s="196"/>
      <c r="F14" s="144"/>
      <c r="G14" s="139"/>
      <c r="H14" s="140"/>
      <c r="I14" s="141"/>
      <c r="J14" s="141"/>
      <c r="K14" s="142"/>
    </row>
    <row r="15" spans="1:11" ht="23.25" x14ac:dyDescent="0.5">
      <c r="A15" s="143"/>
      <c r="B15" s="197" t="str">
        <f>+รายการหัก!D2</f>
        <v>หักค่าโทรศัพท์</v>
      </c>
      <c r="C15" s="198">
        <f>+รายการหัก!D15</f>
        <v>0</v>
      </c>
      <c r="D15" s="197" t="s">
        <v>10</v>
      </c>
      <c r="E15" s="199"/>
      <c r="F15" s="136"/>
      <c r="G15" s="139"/>
      <c r="H15" s="140"/>
      <c r="I15" s="141"/>
      <c r="J15" s="141"/>
      <c r="K15" s="142"/>
    </row>
    <row r="16" spans="1:11" ht="23.25" x14ac:dyDescent="0.5">
      <c r="A16" s="143"/>
      <c r="B16" s="200" t="str">
        <f>+รายการหัก!E2</f>
        <v>หักค่าGPS</v>
      </c>
      <c r="C16" s="167">
        <f>+รายการหัก!E15</f>
        <v>0</v>
      </c>
      <c r="D16" s="200" t="s">
        <v>10</v>
      </c>
      <c r="E16" s="167">
        <f>+รายการหัก!F15</f>
        <v>0</v>
      </c>
      <c r="F16" s="136"/>
      <c r="G16" s="139"/>
      <c r="H16" s="140"/>
      <c r="I16" s="141"/>
      <c r="J16" s="141"/>
      <c r="K16" s="142"/>
    </row>
    <row r="17" spans="1:11" ht="23.25" x14ac:dyDescent="0.5">
      <c r="A17" s="143"/>
      <c r="B17" s="201" t="str">
        <f>+รายการหัก!G2</f>
        <v>หักค่ายืมเงิน</v>
      </c>
      <c r="C17" s="168">
        <f>+รายการหัก!G15</f>
        <v>0</v>
      </c>
      <c r="D17" s="201" t="s">
        <v>10</v>
      </c>
      <c r="E17" s="168">
        <f>+รายการหัก!H15</f>
        <v>0</v>
      </c>
      <c r="F17" s="136"/>
      <c r="G17" s="139"/>
      <c r="H17" s="140"/>
      <c r="I17" s="141"/>
      <c r="J17" s="141"/>
      <c r="K17" s="142"/>
    </row>
    <row r="18" spans="1:11" ht="23.25" x14ac:dyDescent="0.5">
      <c r="A18" s="143"/>
      <c r="B18" s="202" t="str">
        <f>+รายการหัก!I2</f>
        <v>หักค่าสัญญาณGPS รายปี</v>
      </c>
      <c r="C18" s="169">
        <f>+รายการหัก!I15</f>
        <v>0</v>
      </c>
      <c r="D18" s="203" t="s">
        <v>10</v>
      </c>
      <c r="E18" s="169">
        <f>+รายการหัก!J15</f>
        <v>0</v>
      </c>
      <c r="F18" s="145"/>
      <c r="G18" s="139"/>
      <c r="H18" s="140"/>
      <c r="I18" s="141"/>
      <c r="J18" s="141"/>
      <c r="K18" s="142"/>
    </row>
    <row r="19" spans="1:11" ht="23.25" x14ac:dyDescent="0.5">
      <c r="A19" s="143"/>
      <c r="B19" s="204" t="str">
        <f>+รายการหัก!K2</f>
        <v>หักค่าประกัน</v>
      </c>
      <c r="C19" s="170">
        <f>+รายการหัก!K15</f>
        <v>0</v>
      </c>
      <c r="D19" s="205" t="s">
        <v>10</v>
      </c>
      <c r="E19" s="170">
        <f>+รายการหัก!L15</f>
        <v>0</v>
      </c>
      <c r="F19" s="145"/>
      <c r="G19" s="139"/>
      <c r="H19" s="140"/>
      <c r="I19" s="141"/>
      <c r="J19" s="141"/>
      <c r="K19" s="142"/>
    </row>
    <row r="20" spans="1:11" ht="23.25" x14ac:dyDescent="0.5">
      <c r="A20" s="146"/>
      <c r="B20" s="206" t="s">
        <v>12</v>
      </c>
      <c r="C20" s="189">
        <f>SUM(C11-C12-C13+C14-C15-C16-C17-C18-C19)</f>
        <v>0</v>
      </c>
      <c r="D20" s="206" t="s">
        <v>10</v>
      </c>
      <c r="E20" s="207"/>
      <c r="F20" s="32"/>
    </row>
    <row r="22" spans="1:11" ht="26.25" x14ac:dyDescent="0.45">
      <c r="B22" s="378"/>
      <c r="C22" s="378"/>
    </row>
    <row r="23" spans="1:11" ht="23.25" x14ac:dyDescent="0.45">
      <c r="B23" s="222" t="s">
        <v>137</v>
      </c>
      <c r="C23" s="147"/>
      <c r="D23" s="147"/>
      <c r="E23" s="147"/>
    </row>
  </sheetData>
  <mergeCells count="4">
    <mergeCell ref="A1:K1"/>
    <mergeCell ref="A2:B2"/>
    <mergeCell ref="A3:B3"/>
    <mergeCell ref="B22:C22"/>
  </mergeCells>
  <phoneticPr fontId="63" type="noConversion"/>
  <dataValidations count="1">
    <dataValidation type="list" allowBlank="1" showInputMessage="1" showErrorMessage="1" sqref="E5:E8" xr:uid="{7D8A71F6-CA12-4600-92BE-BC51BCD76A6B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1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6DAA00-8DAE-471C-9436-90004EEE41F8}">
          <x14:formula1>
            <xm:f>ราคาขนส่ง!$B$3:$B$52</xm:f>
          </x14:formula1>
          <xm:sqref>B5:B8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747B-1A1A-4128-999E-1538C25E7FEE}">
  <sheetPr>
    <tabColor rgb="FFFF0000"/>
  </sheetPr>
  <dimension ref="A1:D6"/>
  <sheetViews>
    <sheetView zoomScaleNormal="100" workbookViewId="0">
      <selection activeCell="A5" sqref="A5:D5"/>
    </sheetView>
  </sheetViews>
  <sheetFormatPr defaultColWidth="7.125" defaultRowHeight="21" x14ac:dyDescent="0.45"/>
  <cols>
    <col min="1" max="1" width="9.2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+'3ฒพ-5552'!E2</f>
        <v>3ฒพ-5552</v>
      </c>
      <c r="D2" s="90" t="str">
        <f>+'3ฒพ-5552'!I2</f>
        <v>นายสุเมธ ทรัพย์สำราญ</v>
      </c>
    </row>
    <row r="3" spans="1:4" ht="16.5" x14ac:dyDescent="0.35">
      <c r="A3" s="33"/>
    </row>
    <row r="4" spans="1:4" ht="26.25" x14ac:dyDescent="0.35">
      <c r="A4" s="301" t="s">
        <v>13</v>
      </c>
      <c r="B4" s="302" t="s">
        <v>98</v>
      </c>
      <c r="C4" s="302" t="s">
        <v>99</v>
      </c>
      <c r="D4" s="303" t="s">
        <v>100</v>
      </c>
    </row>
    <row r="5" spans="1:4" ht="52.5" customHeight="1" x14ac:dyDescent="0.55000000000000004">
      <c r="A5" s="77"/>
      <c r="B5" s="78"/>
      <c r="C5" s="79"/>
      <c r="D5" s="80"/>
    </row>
    <row r="6" spans="1:4" ht="52.5" customHeight="1" x14ac:dyDescent="0.55000000000000004">
      <c r="A6" s="304" t="s">
        <v>101</v>
      </c>
      <c r="B6" s="305"/>
      <c r="C6" s="305"/>
      <c r="D6" s="306">
        <f>SUBTOTAL(109,Table45678910111213141517181920212228[เป็นจำนวนเงิน(บาท)])</f>
        <v>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68D6-52A2-4184-8969-355ABBDEB821}">
  <sheetPr>
    <tabColor theme="5" tint="0.39997558519241921"/>
  </sheetPr>
  <dimension ref="A1:K31"/>
  <sheetViews>
    <sheetView zoomScaleNormal="100" workbookViewId="0">
      <selection sqref="A1:K31"/>
    </sheetView>
  </sheetViews>
  <sheetFormatPr defaultColWidth="7.125" defaultRowHeight="21" x14ac:dyDescent="0.2"/>
  <cols>
    <col min="1" max="1" width="8.875" style="156" bestFit="1" customWidth="1"/>
    <col min="2" max="2" width="15.875" style="147" customWidth="1"/>
    <col min="3" max="3" width="12.25" style="147" customWidth="1"/>
    <col min="4" max="4" width="6.125" style="147" customWidth="1"/>
    <col min="5" max="5" width="5.375" style="147" customWidth="1"/>
    <col min="6" max="7" width="6.625" style="147" customWidth="1"/>
    <col min="8" max="8" width="3.875" style="147" customWidth="1"/>
    <col min="9" max="9" width="5.875" style="147" customWidth="1"/>
    <col min="10" max="10" width="9.125" style="147" customWidth="1"/>
    <col min="11" max="11" width="6.125" style="147" customWidth="1"/>
    <col min="12" max="16384" width="7.125" style="147"/>
  </cols>
  <sheetData>
    <row r="1" spans="1:11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1" ht="23.25" x14ac:dyDescent="0.2">
      <c r="A2" s="376" t="str">
        <f>+รายการหัก!I1</f>
        <v>รอบวันที่ 1-15 พฤษภาคม 2569</v>
      </c>
      <c r="B2" s="376"/>
      <c r="C2" s="67"/>
      <c r="D2" s="60" t="s">
        <v>41</v>
      </c>
      <c r="E2" s="69" t="s">
        <v>146</v>
      </c>
      <c r="F2" s="53"/>
      <c r="G2" s="53"/>
      <c r="H2" s="13"/>
      <c r="I2" s="67" t="str">
        <f>VLOOKUP(E2,Table22[],2,0)</f>
        <v>นายกัมปนาจ คุ้มอักษร</v>
      </c>
      <c r="J2" s="67"/>
    </row>
    <row r="3" spans="1:11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3.25" customHeight="1" x14ac:dyDescent="0.2">
      <c r="A5" s="109">
        <v>46143</v>
      </c>
      <c r="B5" s="235" t="s">
        <v>26</v>
      </c>
      <c r="C5" s="249" t="s">
        <v>323</v>
      </c>
      <c r="D5" s="244">
        <v>172</v>
      </c>
      <c r="E5" s="351" t="s">
        <v>15</v>
      </c>
      <c r="F5" s="150">
        <f t="array" ref="F5">IFERROR(INDEX(ราคาขนส่ง!$D$3:$D$102,MATCH(1,IF(ราคาขนส่ง!$B$3:$B$102=$B5,IF(ราคาขนส่ง!$C$3:$C$102=$E5,1)),0)),"")</f>
        <v>1650</v>
      </c>
      <c r="G5" s="150">
        <f t="shared" ref="G5" si="0">IFERROR(IF(F5&gt;10,F5,F5*D5),"")</f>
        <v>1650</v>
      </c>
      <c r="H5" s="116"/>
      <c r="I5" s="111">
        <f t="shared" ref="I5:I18" si="1">IFERROR(SUM(G5+H5),"")</f>
        <v>1650</v>
      </c>
      <c r="J5" s="112">
        <f t="shared" ref="J5:J18" si="2">IFERROR(SUM(H5+I5),"")</f>
        <v>1650</v>
      </c>
      <c r="K5" s="151"/>
    </row>
    <row r="6" spans="1:11" ht="23.25" customHeight="1" x14ac:dyDescent="0.2">
      <c r="A6" s="109">
        <v>46144</v>
      </c>
      <c r="B6" s="235" t="s">
        <v>72</v>
      </c>
      <c r="C6" s="249" t="s">
        <v>324</v>
      </c>
      <c r="D6" s="244">
        <v>433</v>
      </c>
      <c r="E6" s="351" t="s">
        <v>14</v>
      </c>
      <c r="F6" s="150">
        <f t="array" ref="F6">IFERROR(INDEX(ราคาขนส่ง!$D$3:$D$102,MATCH(1,IF(ราคาขนส่ง!$B$3:$B$102=$B6,IF(ราคาขนส่ง!$C$3:$C$102=$E6,1)),0)),"")</f>
        <v>9.3000000000000007</v>
      </c>
      <c r="G6" s="150">
        <f t="shared" ref="G6" si="3">IFERROR(IF(F6&gt;10,F6,F6*D6),"")</f>
        <v>4026.9</v>
      </c>
      <c r="H6" s="116"/>
      <c r="I6" s="111">
        <f t="shared" si="1"/>
        <v>4026.9</v>
      </c>
      <c r="J6" s="112">
        <f t="shared" si="2"/>
        <v>4026.9</v>
      </c>
      <c r="K6" s="151"/>
    </row>
    <row r="7" spans="1:11" ht="23.25" customHeight="1" x14ac:dyDescent="0.2">
      <c r="A7" s="109">
        <v>46147</v>
      </c>
      <c r="B7" s="235" t="s">
        <v>55</v>
      </c>
      <c r="C7" s="249" t="s">
        <v>325</v>
      </c>
      <c r="D7" s="244">
        <v>146</v>
      </c>
      <c r="E7" s="351" t="s">
        <v>15</v>
      </c>
      <c r="F7" s="223">
        <f t="array" ref="F7">IFERROR(INDEX(ราคาขนส่ง!$D$3:$D$102,MATCH(1,IF(ราคาขนส่ง!$B$3:$B$102=$B7,IF(ราคาขนส่ง!$C$3:$C$102=$E7,1)),0)),"")</f>
        <v>1300</v>
      </c>
      <c r="G7" s="223">
        <f t="shared" ref="G7:G11" si="4">IFERROR(IF(F7&gt;10,F7,F7*D7),"")</f>
        <v>1300</v>
      </c>
      <c r="H7" s="149"/>
      <c r="I7" s="111">
        <f t="shared" si="1"/>
        <v>1300</v>
      </c>
      <c r="J7" s="112">
        <f t="shared" si="2"/>
        <v>1300</v>
      </c>
      <c r="K7" s="151"/>
    </row>
    <row r="8" spans="1:11" ht="23.25" customHeight="1" x14ac:dyDescent="0.2">
      <c r="A8" s="109">
        <v>46148</v>
      </c>
      <c r="B8" s="235" t="s">
        <v>55</v>
      </c>
      <c r="C8" s="249" t="s">
        <v>327</v>
      </c>
      <c r="D8" s="244">
        <v>165</v>
      </c>
      <c r="E8" s="351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1300</v>
      </c>
      <c r="G8" s="223">
        <f t="shared" si="4"/>
        <v>1300</v>
      </c>
      <c r="H8" s="149"/>
      <c r="I8" s="111">
        <f t="shared" si="1"/>
        <v>1300</v>
      </c>
      <c r="J8" s="112">
        <f t="shared" si="2"/>
        <v>1300</v>
      </c>
      <c r="K8" s="151"/>
    </row>
    <row r="9" spans="1:11" ht="23.25" customHeight="1" x14ac:dyDescent="0.2">
      <c r="A9" s="243">
        <v>46148</v>
      </c>
      <c r="B9" s="235" t="s">
        <v>26</v>
      </c>
      <c r="C9" s="249" t="s">
        <v>328</v>
      </c>
      <c r="D9" s="244">
        <v>122</v>
      </c>
      <c r="E9" s="351" t="s">
        <v>15</v>
      </c>
      <c r="F9" s="247" cm="1">
        <f t="array" ref="F9">IFERROR(INDEX(ราคาขนส่ง!$D$3:$D$102,MATCH(1,IF(ราคาขนส่ง!$B$3:$B$102=$B9,IF(ราคาขนส่ง!$C$3:$C$102=$E9,1)),0)),"")</f>
        <v>1650</v>
      </c>
      <c r="G9" s="247">
        <f t="shared" si="4"/>
        <v>1650</v>
      </c>
      <c r="H9" s="244"/>
      <c r="I9" s="245">
        <f t="shared" si="1"/>
        <v>1650</v>
      </c>
      <c r="J9" s="246">
        <f t="shared" si="2"/>
        <v>1650</v>
      </c>
      <c r="K9" s="259"/>
    </row>
    <row r="10" spans="1:11" ht="23.25" customHeight="1" x14ac:dyDescent="0.2">
      <c r="A10" s="109">
        <v>46151</v>
      </c>
      <c r="B10" s="235" t="s">
        <v>26</v>
      </c>
      <c r="C10" s="249" t="s">
        <v>329</v>
      </c>
      <c r="D10" s="244">
        <v>142</v>
      </c>
      <c r="E10" s="351" t="s">
        <v>15</v>
      </c>
      <c r="F10" s="223" cm="1">
        <f t="array" ref="F10">IFERROR(INDEX(ราคาขนส่ง!$D$3:$D$102,MATCH(1,IF(ราคาขนส่ง!$B$3:$B$102=$B10,IF(ราคาขนส่ง!$C$3:$C$102=$E10,1)),0)),"")</f>
        <v>1650</v>
      </c>
      <c r="G10" s="223">
        <f t="shared" si="4"/>
        <v>1650</v>
      </c>
      <c r="H10" s="149"/>
      <c r="I10" s="111">
        <f t="shared" si="1"/>
        <v>1650</v>
      </c>
      <c r="J10" s="112">
        <f t="shared" si="2"/>
        <v>1650</v>
      </c>
      <c r="K10" s="151"/>
    </row>
    <row r="11" spans="1:11" ht="23.25" customHeight="1" x14ac:dyDescent="0.2">
      <c r="A11" s="109">
        <v>46152</v>
      </c>
      <c r="B11" s="235" t="s">
        <v>26</v>
      </c>
      <c r="C11" s="249" t="s">
        <v>330</v>
      </c>
      <c r="D11" s="244">
        <v>151</v>
      </c>
      <c r="E11" s="351" t="s">
        <v>15</v>
      </c>
      <c r="F11" s="247" cm="1">
        <f t="array" ref="F11">IFERROR(INDEX(ราคาขนส่ง!$D$3:$D$102,MATCH(1,IF(ราคาขนส่ง!$B$3:$B$102=$B11,IF(ราคาขนส่ง!$C$3:$C$102=$E11,1)),0)),"")</f>
        <v>1650</v>
      </c>
      <c r="G11" s="223">
        <f t="shared" si="4"/>
        <v>1650</v>
      </c>
      <c r="H11" s="149"/>
      <c r="I11" s="111">
        <f t="shared" si="1"/>
        <v>1650</v>
      </c>
      <c r="J11" s="112">
        <f t="shared" si="2"/>
        <v>1650</v>
      </c>
      <c r="K11" s="151"/>
    </row>
    <row r="12" spans="1:11" ht="23.25" customHeight="1" x14ac:dyDescent="0.2">
      <c r="A12" s="109">
        <v>46153</v>
      </c>
      <c r="B12" s="235" t="s">
        <v>26</v>
      </c>
      <c r="C12" s="249" t="s">
        <v>317</v>
      </c>
      <c r="D12" s="244">
        <v>149</v>
      </c>
      <c r="E12" s="351" t="s">
        <v>15</v>
      </c>
      <c r="F12" s="355" cm="1">
        <f t="array" ref="F12">IFERROR(INDEX(ราคาขนส่ง!$D$3:$D$102,MATCH(1,IF(ราคาขนส่ง!$B$3:$B$102=$B12,IF(ราคาขนส่ง!$C$3:$C$102=$E12,1)),0)),"")</f>
        <v>1650</v>
      </c>
      <c r="G12" s="355">
        <f t="shared" ref="G12:G13" si="5">IFERROR(IF(F12&gt;10,F12,F12*D12),"")</f>
        <v>1650</v>
      </c>
      <c r="H12" s="149"/>
      <c r="I12" s="111">
        <f t="shared" ref="I12:I13" si="6">IFERROR(SUM(G12+H12),"")</f>
        <v>1650</v>
      </c>
      <c r="J12" s="112">
        <f t="shared" ref="J12:J13" si="7">IFERROR(SUM(H12+I12),"")</f>
        <v>1650</v>
      </c>
      <c r="K12" s="151"/>
    </row>
    <row r="13" spans="1:11" ht="23.25" customHeight="1" x14ac:dyDescent="0.2">
      <c r="A13" s="109">
        <v>46154</v>
      </c>
      <c r="B13" s="148" t="s">
        <v>44</v>
      </c>
      <c r="C13" s="249" t="s">
        <v>331</v>
      </c>
      <c r="D13" s="244">
        <v>225</v>
      </c>
      <c r="E13" s="351" t="s">
        <v>14</v>
      </c>
      <c r="F13" s="355" cm="1">
        <f t="array" ref="F13">IFERROR(INDEX(ราคาขนส่ง!$D$3:$D$102,MATCH(1,IF(ราคาขนส่ง!$B$3:$B$102=$B13,IF(ราคาขนส่ง!$C$3:$C$102=$E13,1)),0)),"")</f>
        <v>3</v>
      </c>
      <c r="G13" s="355">
        <f t="shared" si="5"/>
        <v>675</v>
      </c>
      <c r="H13" s="149"/>
      <c r="I13" s="111">
        <f t="shared" si="6"/>
        <v>675</v>
      </c>
      <c r="J13" s="112">
        <f t="shared" si="7"/>
        <v>675</v>
      </c>
      <c r="K13" s="151"/>
    </row>
    <row r="14" spans="1:11" ht="23.25" customHeight="1" x14ac:dyDescent="0.2">
      <c r="A14" s="109">
        <v>46155</v>
      </c>
      <c r="B14" s="148" t="s">
        <v>19</v>
      </c>
      <c r="C14" s="249" t="s">
        <v>332</v>
      </c>
      <c r="D14" s="244">
        <v>131</v>
      </c>
      <c r="E14" s="351" t="s">
        <v>15</v>
      </c>
      <c r="F14" s="355" cm="1">
        <f t="array" ref="F14">IFERROR(INDEX(ราคาขนส่ง!$D$3:$D$102,MATCH(1,IF(ราคาขนส่ง!$B$3:$B$102=$B14,IF(ราคาขนส่ง!$C$3:$C$102=$E14,1)),0)),"")</f>
        <v>1300</v>
      </c>
      <c r="G14" s="355">
        <f t="shared" ref="G14:G15" si="8">IFERROR(IF(F14&gt;10,F14,F14*D14),"")</f>
        <v>1300</v>
      </c>
      <c r="H14" s="149"/>
      <c r="I14" s="111">
        <f t="shared" ref="I14:I15" si="9">IFERROR(SUM(G14+H14),"")</f>
        <v>1300</v>
      </c>
      <c r="J14" s="112">
        <f t="shared" ref="J14:J15" si="10">IFERROR(SUM(H14+I14),"")</f>
        <v>1300</v>
      </c>
      <c r="K14" s="151"/>
    </row>
    <row r="15" spans="1:11" ht="23.25" customHeight="1" x14ac:dyDescent="0.2">
      <c r="A15" s="109">
        <v>46156</v>
      </c>
      <c r="B15" s="148" t="s">
        <v>19</v>
      </c>
      <c r="C15" s="249" t="s">
        <v>333</v>
      </c>
      <c r="D15" s="244">
        <v>198</v>
      </c>
      <c r="E15" s="351" t="s">
        <v>15</v>
      </c>
      <c r="F15" s="355" cm="1">
        <f t="array" ref="F15">IFERROR(INDEX(ราคาขนส่ง!$D$3:$D$102,MATCH(1,IF(ราคาขนส่ง!$B$3:$B$102=$B15,IF(ราคาขนส่ง!$C$3:$C$102=$E15,1)),0)),"")</f>
        <v>1300</v>
      </c>
      <c r="G15" s="355">
        <f t="shared" si="8"/>
        <v>1300</v>
      </c>
      <c r="H15" s="149"/>
      <c r="I15" s="111">
        <f t="shared" si="9"/>
        <v>1300</v>
      </c>
      <c r="J15" s="112">
        <f t="shared" si="10"/>
        <v>1300</v>
      </c>
      <c r="K15" s="151"/>
    </row>
    <row r="16" spans="1:11" ht="23.25" customHeight="1" x14ac:dyDescent="0.2">
      <c r="A16" s="109">
        <v>46157</v>
      </c>
      <c r="B16" s="148" t="s">
        <v>24</v>
      </c>
      <c r="C16" s="249" t="s">
        <v>334</v>
      </c>
      <c r="D16" s="244">
        <v>111</v>
      </c>
      <c r="E16" s="351" t="s">
        <v>15</v>
      </c>
      <c r="F16" s="355" cm="1">
        <f t="array" ref="F16">IFERROR(INDEX(ราคาขนส่ง!$D$3:$D$102,MATCH(1,IF(ราคาขนส่ง!$B$3:$B$102=$B16,IF(ราคาขนส่ง!$C$3:$C$102=$E16,1)),0)),"")</f>
        <v>1700</v>
      </c>
      <c r="G16" s="355">
        <f t="shared" ref="G16:G17" si="11">IFERROR(IF(F16&gt;10,F16,F16*D16),"")</f>
        <v>1700</v>
      </c>
      <c r="H16" s="149"/>
      <c r="I16" s="111">
        <f t="shared" ref="I16:I17" si="12">IFERROR(SUM(G16+H16),"")</f>
        <v>1700</v>
      </c>
      <c r="J16" s="112">
        <f t="shared" ref="J16:J17" si="13">IFERROR(SUM(H16+I16),"")</f>
        <v>1700</v>
      </c>
      <c r="K16" s="151"/>
    </row>
    <row r="17" spans="1:11" ht="23.25" customHeight="1" x14ac:dyDescent="0.2">
      <c r="A17" s="109">
        <v>46157</v>
      </c>
      <c r="B17" s="235" t="s">
        <v>72</v>
      </c>
      <c r="C17" s="249" t="s">
        <v>335</v>
      </c>
      <c r="D17" s="244">
        <v>145</v>
      </c>
      <c r="E17" s="351" t="s">
        <v>15</v>
      </c>
      <c r="F17" s="355" cm="1">
        <f t="array" ref="F17">IFERROR(INDEX(ราคาขนส่ง!$D$3:$D$102,MATCH(1,IF(ราคาขนส่ง!$B$3:$B$102=$B17,IF(ราคาขนส่ง!$C$3:$C$102=$E17,1)),0)),"")</f>
        <v>2500</v>
      </c>
      <c r="G17" s="355">
        <f t="shared" si="11"/>
        <v>2500</v>
      </c>
      <c r="H17" s="149"/>
      <c r="I17" s="111">
        <f t="shared" si="12"/>
        <v>2500</v>
      </c>
      <c r="J17" s="112">
        <f t="shared" si="13"/>
        <v>2500</v>
      </c>
      <c r="K17" s="151"/>
    </row>
    <row r="18" spans="1:11" ht="18.75" customHeight="1" x14ac:dyDescent="0.2">
      <c r="A18" s="113"/>
      <c r="B18" s="334"/>
      <c r="C18" s="152"/>
      <c r="D18" s="153"/>
      <c r="E18" s="116"/>
      <c r="F18" s="154" t="str">
        <f t="array" ref="F18">IFERROR(INDEX(ราคาขนส่ง!$D$3:$D$102,MATCH(1,IF(ราคาขนส่ง!$B$3:$B$102=#REF!,IF(ราคาขนส่ง!$C$3:$C$102=$E18,1)),0)),"")</f>
        <v/>
      </c>
      <c r="G18" s="154" t="str">
        <f t="shared" ref="G18" si="14">IFERROR(IF(F18&gt;10,F18,F18*D18),"")</f>
        <v/>
      </c>
      <c r="H18" s="117"/>
      <c r="I18" s="114" t="str">
        <f t="shared" si="1"/>
        <v/>
      </c>
      <c r="J18" s="115" t="str">
        <f t="shared" si="2"/>
        <v/>
      </c>
      <c r="K18" s="155"/>
    </row>
    <row r="19" spans="1:11" ht="23.25" x14ac:dyDescent="0.2">
      <c r="A19" s="22"/>
      <c r="B19" s="24" t="s">
        <v>7</v>
      </c>
      <c r="C19" s="17"/>
      <c r="D19" s="24">
        <f>SUM(D5:D18)</f>
        <v>2290</v>
      </c>
      <c r="E19" s="24"/>
      <c r="F19" s="25"/>
      <c r="G19" s="55"/>
      <c r="I19" s="158">
        <f>SUM(I5:I18)</f>
        <v>22351.9</v>
      </c>
      <c r="J19" s="159">
        <f>SUM(J5:J18)</f>
        <v>22351.9</v>
      </c>
      <c r="K19" s="56"/>
    </row>
    <row r="20" spans="1:11" ht="23.25" x14ac:dyDescent="0.2">
      <c r="A20" s="26" t="s">
        <v>8</v>
      </c>
      <c r="B20" s="11"/>
      <c r="C20" s="57"/>
      <c r="D20" s="10"/>
      <c r="E20" s="10"/>
      <c r="F20" s="29"/>
      <c r="G20" s="19"/>
      <c r="H20" s="20"/>
      <c r="I20" s="58"/>
      <c r="J20" s="58"/>
      <c r="K20" s="59"/>
    </row>
    <row r="21" spans="1:11" ht="23.25" x14ac:dyDescent="0.2">
      <c r="A21" s="12"/>
      <c r="B21" s="171" t="s">
        <v>9</v>
      </c>
      <c r="C21" s="172">
        <f>J19</f>
        <v>22351.9</v>
      </c>
      <c r="D21" s="171" t="s">
        <v>10</v>
      </c>
      <c r="E21" s="171"/>
      <c r="F21" s="29"/>
      <c r="G21" s="19"/>
      <c r="H21" s="20"/>
      <c r="I21" s="58"/>
      <c r="J21" s="58"/>
      <c r="K21" s="59"/>
    </row>
    <row r="22" spans="1:11" ht="23.25" x14ac:dyDescent="0.2">
      <c r="A22" s="12"/>
      <c r="B22" s="171" t="s">
        <v>11</v>
      </c>
      <c r="C22" s="173">
        <f>SUM(C21/100)</f>
        <v>223.51900000000001</v>
      </c>
      <c r="D22" s="171" t="s">
        <v>10</v>
      </c>
      <c r="E22" s="171"/>
      <c r="F22" s="30"/>
    </row>
    <row r="23" spans="1:11" ht="21.75" x14ac:dyDescent="0.2">
      <c r="A23" s="12"/>
      <c r="B23" s="174" t="s">
        <v>74</v>
      </c>
      <c r="C23" s="175">
        <f>+Table45678910111213141517181920212228323337[[#Totals],[เป็นจำนวนเงิน(บาท)]]</f>
        <v>10900</v>
      </c>
      <c r="D23" s="174" t="s">
        <v>10</v>
      </c>
      <c r="E23" s="176"/>
    </row>
    <row r="24" spans="1:11" ht="21.75" x14ac:dyDescent="0.2">
      <c r="A24" s="12"/>
      <c r="B24" s="177" t="str">
        <f>+รายการหัก!C2</f>
        <v>ค่าอัพเดทบิล</v>
      </c>
      <c r="C24" s="178">
        <f>+รายการหัก!C16</f>
        <v>0</v>
      </c>
      <c r="D24" s="177" t="s">
        <v>10</v>
      </c>
      <c r="E24" s="176"/>
    </row>
    <row r="25" spans="1:11" ht="21.75" x14ac:dyDescent="0.2">
      <c r="A25" s="12"/>
      <c r="B25" s="179" t="str">
        <f>+รายการหัก!D2</f>
        <v>หักค่าโทรศัพท์</v>
      </c>
      <c r="C25" s="180">
        <f>+รายการหัก!D16</f>
        <v>0</v>
      </c>
      <c r="D25" s="179" t="s">
        <v>10</v>
      </c>
      <c r="E25" s="181"/>
    </row>
    <row r="26" spans="1:11" ht="21.75" x14ac:dyDescent="0.2">
      <c r="A26" s="12"/>
      <c r="B26" s="182" t="str">
        <f>+รายการหัก!E2</f>
        <v>หักค่าGPS</v>
      </c>
      <c r="C26" s="163">
        <f>+รายการหัก!E16</f>
        <v>0</v>
      </c>
      <c r="D26" s="182" t="s">
        <v>10</v>
      </c>
      <c r="E26" s="163">
        <f>+รายการหัก!F16</f>
        <v>0</v>
      </c>
    </row>
    <row r="27" spans="1:11" ht="21.75" x14ac:dyDescent="0.2">
      <c r="A27" s="12"/>
      <c r="B27" s="183" t="str">
        <f>+รายการหัก!G2</f>
        <v>หักค่ายืมเงิน</v>
      </c>
      <c r="C27" s="164">
        <f>+รายการหัก!G16</f>
        <v>0</v>
      </c>
      <c r="D27" s="183" t="s">
        <v>10</v>
      </c>
      <c r="E27" s="164">
        <f>+รายการหัก!H16</f>
        <v>0</v>
      </c>
    </row>
    <row r="28" spans="1:11" ht="21.75" x14ac:dyDescent="0.2">
      <c r="A28" s="12"/>
      <c r="B28" s="184" t="str">
        <f>+รายการหัก!I2</f>
        <v>หักค่าสัญญาณGPS รายปี</v>
      </c>
      <c r="C28" s="165">
        <v>0</v>
      </c>
      <c r="D28" s="185" t="s">
        <v>10</v>
      </c>
      <c r="E28" s="165">
        <f>+รายการหัก!J16</f>
        <v>0</v>
      </c>
    </row>
    <row r="29" spans="1:11" ht="21.75" x14ac:dyDescent="0.2">
      <c r="A29" s="12"/>
      <c r="B29" s="186" t="str">
        <f>+รายการหัก!K2</f>
        <v>หักค่าประกัน</v>
      </c>
      <c r="C29" s="166">
        <f>+รายการหัก!K16</f>
        <v>1800</v>
      </c>
      <c r="D29" s="187" t="s">
        <v>10</v>
      </c>
      <c r="E29" s="166">
        <f>+รายการหัก!L16</f>
        <v>2</v>
      </c>
    </row>
    <row r="30" spans="1:11" ht="23.25" x14ac:dyDescent="0.2">
      <c r="A30" s="23"/>
      <c r="B30" s="188" t="s">
        <v>12</v>
      </c>
      <c r="C30" s="189">
        <f>SUM(C21-C22-C23+C24-C25-C26-C27-C28-C29)</f>
        <v>9428.3810000000012</v>
      </c>
      <c r="D30" s="188" t="s">
        <v>10</v>
      </c>
      <c r="E30" s="190"/>
    </row>
    <row r="31" spans="1:11" ht="23.25" x14ac:dyDescent="0.2">
      <c r="B31" s="222" t="s">
        <v>137</v>
      </c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18" xr:uid="{0ACC5AF2-EB47-4A34-894F-75DCD1AA462A}">
      <formula1>ราคา</formula1>
    </dataValidation>
  </dataValidations>
  <pageMargins left="0.39370078740157483" right="0.39370078740157483" top="0.74803149606299213" bottom="0.39370078740157483" header="0.31496062992125984" footer="0.3937007874015748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DA567F-3ECF-4BBA-A156-510E7CEAC286}">
          <x14:formula1>
            <xm:f>ราคาขนส่ง!$B$3:$B$52</xm:f>
          </x14:formula1>
          <xm:sqref>B5:B17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656E-63C9-48D3-A433-827D40A29BA8}">
  <sheetPr>
    <tabColor theme="5" tint="0.39997558519241921"/>
  </sheetPr>
  <dimension ref="A1:D14"/>
  <sheetViews>
    <sheetView zoomScaleNormal="100" workbookViewId="0">
      <selection activeCell="B14" sqref="B14"/>
    </sheetView>
  </sheetViews>
  <sheetFormatPr defaultColWidth="7.125" defaultRowHeight="21" x14ac:dyDescent="0.45"/>
  <cols>
    <col min="1" max="1" width="9.625" style="39" customWidth="1"/>
    <col min="2" max="2" width="22.625" style="33" customWidth="1"/>
    <col min="3" max="3" width="22.5" style="33" customWidth="1"/>
    <col min="4" max="4" width="22.7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+'ผท-4890'!E2</f>
        <v>ผท-4890</v>
      </c>
      <c r="D2" s="90" t="str">
        <f>+'ผท-4890'!I2</f>
        <v>นายกัมปนาจ คุ้มอักษร</v>
      </c>
    </row>
    <row r="3" spans="1:4" ht="16.5" x14ac:dyDescent="0.35">
      <c r="A3" s="33"/>
      <c r="D3" s="33" t="s">
        <v>143</v>
      </c>
    </row>
    <row r="4" spans="1:4" ht="29.25" customHeight="1" x14ac:dyDescent="0.35">
      <c r="A4" s="301" t="s">
        <v>13</v>
      </c>
      <c r="B4" s="302" t="s">
        <v>98</v>
      </c>
      <c r="C4" s="302" t="s">
        <v>99</v>
      </c>
      <c r="D4" s="303" t="s">
        <v>100</v>
      </c>
    </row>
    <row r="5" spans="1:4" ht="46.5" customHeight="1" x14ac:dyDescent="0.55000000000000004">
      <c r="A5" s="77">
        <v>1</v>
      </c>
      <c r="B5" s="78">
        <v>46143</v>
      </c>
      <c r="C5" s="79" t="s">
        <v>209</v>
      </c>
      <c r="D5" s="80">
        <v>1000</v>
      </c>
    </row>
    <row r="6" spans="1:4" ht="46.5" customHeight="1" x14ac:dyDescent="0.55000000000000004">
      <c r="A6" s="77">
        <v>2</v>
      </c>
      <c r="B6" s="78">
        <v>46143</v>
      </c>
      <c r="C6" s="79" t="s">
        <v>210</v>
      </c>
      <c r="D6" s="80">
        <v>2000</v>
      </c>
    </row>
    <row r="7" spans="1:4" ht="46.5" customHeight="1" x14ac:dyDescent="0.55000000000000004">
      <c r="A7" s="77">
        <v>3</v>
      </c>
      <c r="B7" s="78">
        <v>46146</v>
      </c>
      <c r="C7" s="79" t="s">
        <v>211</v>
      </c>
      <c r="D7" s="80">
        <v>1000</v>
      </c>
    </row>
    <row r="8" spans="1:4" ht="46.5" customHeight="1" x14ac:dyDescent="0.55000000000000004">
      <c r="A8" s="77">
        <v>4</v>
      </c>
      <c r="B8" s="78">
        <v>46147</v>
      </c>
      <c r="C8" s="79" t="s">
        <v>212</v>
      </c>
      <c r="D8" s="80">
        <v>1000</v>
      </c>
    </row>
    <row r="9" spans="1:4" ht="46.5" customHeight="1" x14ac:dyDescent="0.55000000000000004">
      <c r="A9" s="77">
        <v>5</v>
      </c>
      <c r="B9" s="78">
        <v>46150</v>
      </c>
      <c r="C9" s="79" t="s">
        <v>213</v>
      </c>
      <c r="D9" s="80">
        <v>1000</v>
      </c>
    </row>
    <row r="10" spans="1:4" ht="46.5" customHeight="1" x14ac:dyDescent="0.55000000000000004">
      <c r="A10" s="359">
        <v>6</v>
      </c>
      <c r="B10" s="360">
        <v>46151</v>
      </c>
      <c r="C10" s="79" t="s">
        <v>214</v>
      </c>
      <c r="D10" s="80">
        <v>1000</v>
      </c>
    </row>
    <row r="11" spans="1:4" ht="46.5" customHeight="1" x14ac:dyDescent="0.55000000000000004">
      <c r="A11" s="359">
        <v>7</v>
      </c>
      <c r="B11" s="360">
        <v>46155</v>
      </c>
      <c r="C11" s="79" t="s">
        <v>215</v>
      </c>
      <c r="D11" s="80">
        <v>1000</v>
      </c>
    </row>
    <row r="12" spans="1:4" ht="46.5" customHeight="1" x14ac:dyDescent="0.55000000000000004">
      <c r="A12" s="77">
        <v>8</v>
      </c>
      <c r="B12" s="78">
        <v>46155</v>
      </c>
      <c r="C12" s="79" t="s">
        <v>216</v>
      </c>
      <c r="D12" s="80">
        <v>1000</v>
      </c>
    </row>
    <row r="13" spans="1:4" ht="46.5" customHeight="1" x14ac:dyDescent="0.55000000000000004">
      <c r="A13" s="77">
        <v>9</v>
      </c>
      <c r="B13" s="299">
        <v>46156</v>
      </c>
      <c r="C13" s="338" t="s">
        <v>217</v>
      </c>
      <c r="D13" s="300">
        <v>1900</v>
      </c>
    </row>
    <row r="14" spans="1:4" ht="57" customHeight="1" x14ac:dyDescent="0.55000000000000004">
      <c r="A14" s="304" t="s">
        <v>101</v>
      </c>
      <c r="B14" s="305"/>
      <c r="C14" s="305"/>
      <c r="D14" s="306">
        <f>SUBTOTAL(109,Table45678910111213141517181920212228323337[เป็นจำนวนเงิน(บาท)])</f>
        <v>10900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E048-ACFE-457F-B67E-FE84461688DC}">
  <sheetPr>
    <tabColor rgb="FFFF0000"/>
  </sheetPr>
  <dimension ref="A1:M23"/>
  <sheetViews>
    <sheetView showWhiteSpace="0" zoomScaleNormal="100" workbookViewId="0">
      <selection activeCell="T12" sqref="T12"/>
    </sheetView>
  </sheetViews>
  <sheetFormatPr defaultColWidth="7.125" defaultRowHeight="21" x14ac:dyDescent="0.2"/>
  <cols>
    <col min="1" max="1" width="8.875" style="156" bestFit="1" customWidth="1"/>
    <col min="2" max="2" width="15.75" style="147" customWidth="1"/>
    <col min="3" max="3" width="10.875" style="147" bestFit="1" customWidth="1"/>
    <col min="4" max="4" width="6" style="147" customWidth="1"/>
    <col min="5" max="5" width="5.625" style="147" customWidth="1"/>
    <col min="6" max="6" width="7.375" style="147" customWidth="1"/>
    <col min="7" max="7" width="7.5" style="147" customWidth="1"/>
    <col min="8" max="8" width="3.75" style="147" customWidth="1"/>
    <col min="9" max="9" width="6.375" style="147" customWidth="1"/>
    <col min="10" max="10" width="9.375" style="147" customWidth="1"/>
    <col min="11" max="11" width="8" style="147" customWidth="1"/>
    <col min="12" max="16384" width="7.125" style="147"/>
  </cols>
  <sheetData>
    <row r="1" spans="1:12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2" ht="23.25" x14ac:dyDescent="0.2">
      <c r="A2" s="376" t="str">
        <f>+รายการหัก!I1</f>
        <v>รอบวันที่ 1-15 พฤษภาคม 2569</v>
      </c>
      <c r="B2" s="376"/>
      <c r="C2" s="67"/>
      <c r="D2" s="60" t="s">
        <v>41</v>
      </c>
      <c r="E2" s="21" t="s">
        <v>140</v>
      </c>
      <c r="F2" s="53"/>
      <c r="G2" s="53"/>
      <c r="H2" s="13"/>
      <c r="I2" s="67" t="str">
        <f>VLOOKUP(E2,Table22[],2,0)</f>
        <v>นางสาวพัชรี อุ่มชัย</v>
      </c>
      <c r="J2" s="67"/>
    </row>
    <row r="3" spans="1:12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2" ht="26.25" customHeight="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2" ht="24.75" customHeight="1" x14ac:dyDescent="0.2">
      <c r="A5" s="234"/>
      <c r="B5" s="235"/>
      <c r="C5" s="249"/>
      <c r="D5" s="236"/>
      <c r="E5" s="237" t="s">
        <v>15</v>
      </c>
      <c r="F5" s="241" t="str">
        <f t="array" ref="F5">IFERROR(INDEX(ราคาขนส่ง!$D$3:$D$102,MATCH(1,IF(ราคาขนส่ง!$B$3:$B$102=$B5,IF(ราคาขนส่ง!$C$3:$C$102=$E5,1)),0)),"")</f>
        <v/>
      </c>
      <c r="G5" s="241" t="str">
        <f t="shared" ref="G5:G11" si="0">IFERROR(IF(F5&gt;10,F5,F5*D5),"")</f>
        <v/>
      </c>
      <c r="H5" s="239"/>
      <c r="I5" s="239" t="str">
        <f t="shared" ref="I5:I11" si="1">IFERROR(SUM(G5+H5),"")</f>
        <v/>
      </c>
      <c r="J5" s="240" t="str">
        <f t="shared" ref="J5" si="2">IFERROR(SUM(H5+I5),"")</f>
        <v/>
      </c>
      <c r="K5" s="268"/>
      <c r="L5" s="248"/>
    </row>
    <row r="6" spans="1:12" ht="24.75" customHeight="1" x14ac:dyDescent="0.2">
      <c r="A6" s="109"/>
      <c r="B6" s="148"/>
      <c r="C6" s="249"/>
      <c r="D6" s="236"/>
      <c r="E6" s="237" t="s">
        <v>15</v>
      </c>
      <c r="F6" s="223" t="str" cm="1">
        <f t="array" ref="F6">IFERROR(INDEX(ราคาขนส่ง!$D$3:$D$102,MATCH(1,IF(ราคาขนส่ง!$B$3:$B$102=$B6,IF(ราคาขนส่ง!$C$3:$C$102=$E6,1)),0)),"")</f>
        <v/>
      </c>
      <c r="G6" s="223" t="str">
        <f t="shared" ref="G6:G8" si="3">IFERROR(IF(F6&gt;10,F6,F6*D6),"")</f>
        <v/>
      </c>
      <c r="H6" s="112"/>
      <c r="I6" s="111" t="str">
        <f t="shared" ref="I6:I8" si="4">IFERROR(SUM(G6+H6),"")</f>
        <v/>
      </c>
      <c r="J6" s="112" t="str">
        <f t="shared" ref="J6:J8" si="5">IFERROR(SUM(H6+I6),"")</f>
        <v/>
      </c>
      <c r="K6" s="337"/>
      <c r="L6" s="248"/>
    </row>
    <row r="7" spans="1:12" ht="24.75" customHeight="1" x14ac:dyDescent="0.2">
      <c r="A7" s="109"/>
      <c r="B7" s="148"/>
      <c r="C7" s="249"/>
      <c r="D7" s="236"/>
      <c r="E7" s="237" t="s">
        <v>15</v>
      </c>
      <c r="F7" s="223" t="str" cm="1">
        <f t="array" ref="F7">IFERROR(INDEX(ราคาขนส่ง!$D$3:$D$102,MATCH(1,IF(ราคาขนส่ง!$B$3:$B$102=$B7,IF(ราคาขนส่ง!$C$3:$C$102=$E7,1)),0)),"")</f>
        <v/>
      </c>
      <c r="G7" s="223" t="str">
        <f t="shared" si="3"/>
        <v/>
      </c>
      <c r="H7" s="112"/>
      <c r="I7" s="111" t="str">
        <f t="shared" si="4"/>
        <v/>
      </c>
      <c r="J7" s="112" t="str">
        <f t="shared" si="5"/>
        <v/>
      </c>
      <c r="K7" s="337"/>
      <c r="L7" s="248"/>
    </row>
    <row r="8" spans="1:12" ht="24.75" customHeight="1" x14ac:dyDescent="0.2">
      <c r="A8" s="109"/>
      <c r="B8" s="148"/>
      <c r="C8" s="249"/>
      <c r="D8" s="236"/>
      <c r="E8" s="237" t="s">
        <v>15</v>
      </c>
      <c r="F8" s="223" t="str" cm="1">
        <f t="array" ref="F8">IFERROR(INDEX(ราคาขนส่ง!$D$3:$D$102,MATCH(1,IF(ราคาขนส่ง!$B$3:$B$102=$B8,IF(ราคาขนส่ง!$C$3:$C$102=$E8,1)),0)),"")</f>
        <v/>
      </c>
      <c r="G8" s="223" t="str">
        <f t="shared" si="3"/>
        <v/>
      </c>
      <c r="H8" s="112"/>
      <c r="I8" s="111" t="str">
        <f t="shared" si="4"/>
        <v/>
      </c>
      <c r="J8" s="112" t="str">
        <f t="shared" si="5"/>
        <v/>
      </c>
      <c r="K8" s="337"/>
      <c r="L8" s="248"/>
    </row>
    <row r="9" spans="1:12" ht="24.75" customHeight="1" x14ac:dyDescent="0.2">
      <c r="A9" s="109"/>
      <c r="B9" s="148"/>
      <c r="C9" s="249"/>
      <c r="D9" s="236"/>
      <c r="E9" s="237" t="s">
        <v>15</v>
      </c>
      <c r="F9" s="223" t="str" cm="1">
        <f t="array" ref="F9">IFERROR(INDEX(ราคาขนส่ง!$D$3:$D$102,MATCH(1,IF(ราคาขนส่ง!$B$3:$B$102=$B9,IF(ราคาขนส่ง!$C$3:$C$102=$E9,1)),0)),"")</f>
        <v/>
      </c>
      <c r="G9" s="223" t="str">
        <f t="shared" ref="G9:G10" si="6">IFERROR(IF(F9&gt;10,F9,F9*D9),"")</f>
        <v/>
      </c>
      <c r="H9" s="112"/>
      <c r="I9" s="111" t="str">
        <f t="shared" ref="I9:I10" si="7">IFERROR(SUM(G9+H9),"")</f>
        <v/>
      </c>
      <c r="J9" s="112" t="str">
        <f t="shared" ref="J9:J10" si="8">IFERROR(SUM(H9+I9),"")</f>
        <v/>
      </c>
      <c r="K9" s="337"/>
      <c r="L9" s="248"/>
    </row>
    <row r="10" spans="1:12" ht="24.75" customHeight="1" x14ac:dyDescent="0.2">
      <c r="A10" s="109"/>
      <c r="B10" s="148"/>
      <c r="C10" s="249"/>
      <c r="D10" s="236"/>
      <c r="E10" s="237" t="s">
        <v>14</v>
      </c>
      <c r="F10" s="223" t="str" cm="1">
        <f t="array" ref="F10">IFERROR(INDEX(ราคาขนส่ง!$D$3:$D$102,MATCH(1,IF(ราคาขนส่ง!$B$3:$B$102=$B10,IF(ราคาขนส่ง!$C$3:$C$102=$E10,1)),0)),"")</f>
        <v/>
      </c>
      <c r="G10" s="223" t="str">
        <f t="shared" si="6"/>
        <v/>
      </c>
      <c r="H10" s="112"/>
      <c r="I10" s="111" t="str">
        <f t="shared" si="7"/>
        <v/>
      </c>
      <c r="J10" s="112" t="str">
        <f t="shared" si="8"/>
        <v/>
      </c>
      <c r="K10" s="337"/>
      <c r="L10" s="248"/>
    </row>
    <row r="11" spans="1:12" ht="21" customHeight="1" x14ac:dyDescent="0.2">
      <c r="A11" s="113"/>
      <c r="B11" s="148"/>
      <c r="C11" s="152"/>
      <c r="D11" s="153"/>
      <c r="E11" s="237"/>
      <c r="F11" s="154" t="str">
        <f t="array" ref="F11">IFERROR(INDEX(ราคาขนส่ง!$D$3:$D$102,MATCH(1,IF(ราคาขนส่ง!$B$3:$B$102=$B11,IF(ราคาขนส่ง!$C$3:$C$102=$E11,1)),0)),"")</f>
        <v/>
      </c>
      <c r="G11" s="154" t="str">
        <f t="shared" si="0"/>
        <v/>
      </c>
      <c r="H11" s="111"/>
      <c r="I11" s="114" t="str">
        <f t="shared" si="1"/>
        <v/>
      </c>
      <c r="J11" s="115" t="str">
        <f t="shared" ref="J11" si="9">IFERROR(SUM(H11+I11),"")</f>
        <v/>
      </c>
      <c r="K11" s="162"/>
    </row>
    <row r="12" spans="1:12" ht="23.25" x14ac:dyDescent="0.2">
      <c r="A12" s="22"/>
      <c r="B12" s="24" t="s">
        <v>7</v>
      </c>
      <c r="C12" s="17"/>
      <c r="D12" s="24">
        <f>SUM(D5:D11)</f>
        <v>0</v>
      </c>
      <c r="E12" s="24"/>
      <c r="F12" s="25"/>
      <c r="G12" s="55"/>
      <c r="I12" s="64">
        <f>SUM(I5:I11)</f>
        <v>0</v>
      </c>
      <c r="J12" s="65">
        <f>SUM(J5:J11)</f>
        <v>0</v>
      </c>
      <c r="K12" s="56"/>
    </row>
    <row r="13" spans="1:12" ht="23.25" x14ac:dyDescent="0.2">
      <c r="A13" s="26" t="s">
        <v>8</v>
      </c>
      <c r="B13" s="11"/>
      <c r="C13" s="57"/>
      <c r="D13" s="10"/>
      <c r="E13" s="10"/>
      <c r="F13" s="11"/>
      <c r="G13" s="19"/>
      <c r="H13" s="20"/>
      <c r="I13" s="58"/>
      <c r="J13" s="58"/>
      <c r="K13" s="59"/>
    </row>
    <row r="14" spans="1:12" ht="23.25" x14ac:dyDescent="0.2">
      <c r="A14" s="12"/>
      <c r="B14" s="171" t="s">
        <v>9</v>
      </c>
      <c r="C14" s="172">
        <f>J12</f>
        <v>0</v>
      </c>
      <c r="D14" s="171" t="s">
        <v>10</v>
      </c>
      <c r="E14" s="171"/>
      <c r="F14" s="27"/>
      <c r="G14" s="19"/>
      <c r="H14" s="20"/>
      <c r="I14" s="58"/>
      <c r="J14" s="58"/>
      <c r="K14" s="59"/>
    </row>
    <row r="15" spans="1:12" ht="23.25" x14ac:dyDescent="0.2">
      <c r="A15" s="12"/>
      <c r="B15" s="171" t="s">
        <v>11</v>
      </c>
      <c r="C15" s="173">
        <f>SUM(C14/100)</f>
        <v>0</v>
      </c>
      <c r="D15" s="171" t="s">
        <v>10</v>
      </c>
      <c r="E15" s="171"/>
      <c r="F15" s="27"/>
      <c r="G15" s="19"/>
      <c r="H15" s="20"/>
      <c r="I15" s="58"/>
      <c r="J15" s="58"/>
      <c r="K15" s="59"/>
    </row>
    <row r="16" spans="1:12" ht="23.25" x14ac:dyDescent="0.2">
      <c r="A16" s="12"/>
      <c r="B16" s="174" t="s">
        <v>74</v>
      </c>
      <c r="C16" s="175">
        <f>+Table456789101112131415171819202122[[#Totals],[เป็นจำนวนเงิน(บาท)]]</f>
        <v>0</v>
      </c>
      <c r="D16" s="174" t="s">
        <v>10</v>
      </c>
      <c r="E16" s="176"/>
      <c r="F16" s="28"/>
      <c r="G16" s="19"/>
      <c r="H16" s="20"/>
      <c r="I16" s="58"/>
      <c r="J16" s="58"/>
      <c r="K16" s="59"/>
    </row>
    <row r="17" spans="1:13" ht="23.25" x14ac:dyDescent="0.2">
      <c r="A17" s="12"/>
      <c r="B17" s="177" t="str">
        <f>+รายการหัก!C2</f>
        <v>ค่าอัพเดทบิล</v>
      </c>
      <c r="C17" s="178">
        <f>+รายการหัก!C17</f>
        <v>0</v>
      </c>
      <c r="D17" s="177" t="s">
        <v>10</v>
      </c>
      <c r="E17" s="176"/>
      <c r="F17" s="28"/>
      <c r="G17" s="19"/>
      <c r="H17" s="20"/>
      <c r="I17" s="58"/>
      <c r="J17" s="58"/>
      <c r="K17" s="59"/>
      <c r="M17" s="147" t="s">
        <v>143</v>
      </c>
    </row>
    <row r="18" spans="1:13" ht="23.25" x14ac:dyDescent="0.2">
      <c r="A18" s="12"/>
      <c r="B18" s="179" t="str">
        <f>+รายการหัก!D2</f>
        <v>หักค่าโทรศัพท์</v>
      </c>
      <c r="C18" s="180">
        <f>+รายการหัก!D17</f>
        <v>0</v>
      </c>
      <c r="D18" s="179" t="s">
        <v>10</v>
      </c>
      <c r="E18" s="181"/>
      <c r="F18" s="11"/>
      <c r="G18" s="19"/>
      <c r="H18" s="20"/>
      <c r="I18" s="58"/>
      <c r="J18" s="58"/>
      <c r="K18" s="59"/>
    </row>
    <row r="19" spans="1:13" ht="23.25" x14ac:dyDescent="0.2">
      <c r="A19" s="12"/>
      <c r="B19" s="182" t="str">
        <f>+รายการหัก!E2</f>
        <v>หักค่าGPS</v>
      </c>
      <c r="C19" s="163">
        <f>+รายการหัก!E17</f>
        <v>0</v>
      </c>
      <c r="D19" s="182" t="s">
        <v>10</v>
      </c>
      <c r="E19" s="163">
        <f>+รายการหัก!F17</f>
        <v>0</v>
      </c>
      <c r="F19" s="11"/>
      <c r="G19" s="19"/>
      <c r="H19" s="20"/>
      <c r="I19" s="58"/>
      <c r="J19" s="58"/>
      <c r="K19" s="59"/>
    </row>
    <row r="20" spans="1:13" ht="23.25" x14ac:dyDescent="0.2">
      <c r="A20" s="12"/>
      <c r="B20" s="183" t="str">
        <f>+รายการหัก!G2</f>
        <v>หักค่ายืมเงิน</v>
      </c>
      <c r="C20" s="164">
        <f>+รายการหัก!G17</f>
        <v>0</v>
      </c>
      <c r="D20" s="183" t="s">
        <v>10</v>
      </c>
      <c r="E20" s="164">
        <f>+รายการหัก!H17</f>
        <v>0</v>
      </c>
      <c r="F20" s="11"/>
      <c r="G20" s="19"/>
      <c r="H20" s="20"/>
      <c r="I20" s="58"/>
      <c r="J20" s="58"/>
      <c r="K20" s="59"/>
    </row>
    <row r="21" spans="1:13" ht="23.25" x14ac:dyDescent="0.2">
      <c r="A21" s="12"/>
      <c r="B21" s="184" t="str">
        <f>+รายการหัก!I2</f>
        <v>หักค่าสัญญาณGPS รายปี</v>
      </c>
      <c r="C21" s="165">
        <f>+รายการหัก!I17</f>
        <v>0</v>
      </c>
      <c r="D21" s="185" t="s">
        <v>10</v>
      </c>
      <c r="E21" s="165">
        <f>+รายการหัก!J17</f>
        <v>0</v>
      </c>
      <c r="F21" s="29"/>
      <c r="G21" s="19"/>
      <c r="H21" s="20"/>
      <c r="I21" s="58"/>
      <c r="J21" s="58"/>
      <c r="K21" s="59"/>
    </row>
    <row r="22" spans="1:13" ht="23.25" x14ac:dyDescent="0.2">
      <c r="A22" s="12"/>
      <c r="B22" s="186" t="str">
        <f>+รายการหัก!K2</f>
        <v>หักค่าประกัน</v>
      </c>
      <c r="C22" s="166">
        <f>+รายการหัก!K17</f>
        <v>0</v>
      </c>
      <c r="D22" s="187" t="s">
        <v>10</v>
      </c>
      <c r="E22" s="166">
        <f>+รายการหัก!L17</f>
        <v>0</v>
      </c>
      <c r="F22" s="29"/>
      <c r="G22" s="19"/>
      <c r="H22" s="20"/>
      <c r="I22" s="58"/>
      <c r="J22" s="58"/>
      <c r="K22" s="59"/>
    </row>
    <row r="23" spans="1:13" ht="23.25" x14ac:dyDescent="0.2">
      <c r="A23" s="23"/>
      <c r="B23" s="188" t="s">
        <v>12</v>
      </c>
      <c r="C23" s="189">
        <f>SUM(C14-C15-C16+C17-C18-C19-C20-C21-C22)</f>
        <v>0</v>
      </c>
      <c r="D23" s="188" t="s">
        <v>10</v>
      </c>
      <c r="E23" s="190"/>
      <c r="F23" s="30"/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11" xr:uid="{CB973999-D7E3-4036-86F6-7D6EEA83A8F4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BAFDB2-9B6A-4B7D-B36B-F733150669C1}">
          <x14:formula1>
            <xm:f>ราคาขนส่ง!$B$3:$B$52</xm:f>
          </x14:formula1>
          <xm:sqref>B5:B11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409C-9717-4912-95CF-F55D206DE705}">
  <sheetPr>
    <tabColor rgb="FFFF0000"/>
  </sheetPr>
  <dimension ref="A1:D10"/>
  <sheetViews>
    <sheetView zoomScaleNormal="100" workbookViewId="0">
      <selection activeCell="A5" sqref="A5:D9"/>
    </sheetView>
  </sheetViews>
  <sheetFormatPr defaultColWidth="7.125" defaultRowHeight="21" x14ac:dyDescent="0.45"/>
  <cols>
    <col min="1" max="1" width="8.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30.75" customHeight="1" x14ac:dyDescent="0.35">
      <c r="A1" s="375" t="s">
        <v>0</v>
      </c>
      <c r="B1" s="375"/>
      <c r="C1" s="375"/>
      <c r="D1" s="375"/>
    </row>
    <row r="2" spans="1:4" ht="30.75" customHeight="1" x14ac:dyDescent="0.35">
      <c r="A2" s="380" t="str">
        <f>+รายการหัก!I1</f>
        <v>รอบวันที่ 1-15 พฤษภาคม 2569</v>
      </c>
      <c r="B2" s="380"/>
      <c r="C2" s="73" t="str">
        <f>+'บล-5334'!E2</f>
        <v>บล-5334</v>
      </c>
      <c r="D2" s="90" t="str">
        <f>+'บล-5334'!I2</f>
        <v>นางสาวพัชรี อุ่มชัย</v>
      </c>
    </row>
    <row r="3" spans="1:4" ht="26.25" customHeight="1" x14ac:dyDescent="0.35">
      <c r="A3" s="33"/>
    </row>
    <row r="4" spans="1:4" ht="26.25" x14ac:dyDescent="0.35">
      <c r="A4" s="301" t="s">
        <v>13</v>
      </c>
      <c r="B4" s="302" t="s">
        <v>98</v>
      </c>
      <c r="C4" s="302" t="s">
        <v>99</v>
      </c>
      <c r="D4" s="303" t="s">
        <v>100</v>
      </c>
    </row>
    <row r="5" spans="1:4" ht="47.25" customHeight="1" x14ac:dyDescent="0.55000000000000004">
      <c r="A5" s="321"/>
      <c r="B5" s="322"/>
      <c r="C5" s="323"/>
      <c r="D5" s="324"/>
    </row>
    <row r="6" spans="1:4" ht="47.25" customHeight="1" x14ac:dyDescent="0.55000000000000004">
      <c r="A6" s="264"/>
      <c r="B6" s="265"/>
      <c r="C6" s="266"/>
      <c r="D6" s="267"/>
    </row>
    <row r="7" spans="1:4" ht="47.25" customHeight="1" x14ac:dyDescent="0.55000000000000004">
      <c r="A7" s="321"/>
      <c r="B7" s="265"/>
      <c r="C7" s="266"/>
      <c r="D7" s="267"/>
    </row>
    <row r="8" spans="1:4" ht="47.25" customHeight="1" x14ac:dyDescent="0.55000000000000004">
      <c r="A8" s="264"/>
      <c r="B8" s="265"/>
      <c r="C8" s="266"/>
      <c r="D8" s="267"/>
    </row>
    <row r="9" spans="1:4" ht="47.25" customHeight="1" x14ac:dyDescent="0.55000000000000004">
      <c r="A9" s="321"/>
      <c r="B9" s="265"/>
      <c r="C9" s="266"/>
      <c r="D9" s="267"/>
    </row>
    <row r="10" spans="1:4" ht="43.5" customHeight="1" x14ac:dyDescent="0.55000000000000004">
      <c r="A10" s="304" t="s">
        <v>101</v>
      </c>
      <c r="B10" s="305"/>
      <c r="C10" s="305"/>
      <c r="D10" s="306">
        <f>SUBTOTAL(109,Table456789101112131415171819202122[เป็นจำนวนเงิน(บาท)])</f>
        <v>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F183-1191-4C92-859F-1045C65B24E7}">
  <sheetPr>
    <tabColor rgb="FFFFCCFF"/>
  </sheetPr>
  <dimension ref="A1:O35"/>
  <sheetViews>
    <sheetView tabSelected="1" showWhiteSpace="0" topLeftCell="A10" zoomScaleNormal="100" workbookViewId="0">
      <selection activeCell="T19" sqref="T19"/>
    </sheetView>
  </sheetViews>
  <sheetFormatPr defaultColWidth="7.125" defaultRowHeight="21" x14ac:dyDescent="0.2"/>
  <cols>
    <col min="1" max="1" width="8.875" style="156" bestFit="1" customWidth="1"/>
    <col min="2" max="2" width="15.5" style="147" customWidth="1"/>
    <col min="3" max="3" width="10.875" style="147" bestFit="1" customWidth="1"/>
    <col min="4" max="4" width="8.125" style="147" customWidth="1"/>
    <col min="5" max="5" width="10.25" style="147" customWidth="1"/>
    <col min="6" max="7" width="6.625" style="147" customWidth="1"/>
    <col min="8" max="8" width="3.5" style="147" customWidth="1"/>
    <col min="9" max="9" width="7.125" style="147"/>
    <col min="10" max="10" width="8.75" style="147" customWidth="1"/>
    <col min="11" max="11" width="7.375" style="147" customWidth="1"/>
    <col min="12" max="16384" width="7.125" style="147"/>
  </cols>
  <sheetData>
    <row r="1" spans="1:11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1" ht="23.25" x14ac:dyDescent="0.2">
      <c r="A2" s="376" t="str">
        <f>+รายการหัก!I1</f>
        <v>รอบวันที่ 1-15 พฤษภาคม 2569</v>
      </c>
      <c r="B2" s="376"/>
      <c r="C2" s="67"/>
      <c r="D2" s="60" t="s">
        <v>41</v>
      </c>
      <c r="E2" s="21" t="s">
        <v>88</v>
      </c>
      <c r="F2" s="53"/>
      <c r="G2" s="53"/>
      <c r="H2" s="13"/>
      <c r="I2" s="67" t="str">
        <f>VLOOKUP(E2,Table22[],2,0)</f>
        <v>นายสันติพงษ์ ทองเที่ยง</v>
      </c>
      <c r="J2" s="67"/>
    </row>
    <row r="3" spans="1:11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1" ht="26.25" customHeight="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4" customHeight="1" x14ac:dyDescent="0.2">
      <c r="A5" s="109">
        <v>46143</v>
      </c>
      <c r="B5" s="148" t="s">
        <v>26</v>
      </c>
      <c r="C5" s="110" t="s">
        <v>258</v>
      </c>
      <c r="D5" s="149">
        <v>107</v>
      </c>
      <c r="E5" s="116" t="s">
        <v>15</v>
      </c>
      <c r="F5" s="241">
        <f t="array" ref="F5">IFERROR(INDEX(ราคาขนส่ง!$D$3:$D$102,MATCH(1,IF(ราคาขนส่ง!$B$3:$B$102=$B5,IF(ราคาขนส่ง!$C$3:$C$102=$E5,1)),0)),"")</f>
        <v>1650</v>
      </c>
      <c r="G5" s="241">
        <f t="shared" ref="G5" si="0">IFERROR(IF(F5&gt;10,F5,F5*D5),"")</f>
        <v>1650</v>
      </c>
      <c r="H5" s="237"/>
      <c r="I5" s="239">
        <f t="shared" ref="I5:I22" si="1">IFERROR(SUM(G5+H5),"")</f>
        <v>1650</v>
      </c>
      <c r="J5" s="240">
        <f t="shared" ref="J5:J22" si="2">IFERROR(SUM(H5+I5),"")</f>
        <v>1650</v>
      </c>
      <c r="K5" s="108"/>
    </row>
    <row r="6" spans="1:11" ht="24" customHeight="1" x14ac:dyDescent="0.2">
      <c r="A6" s="109">
        <v>46144</v>
      </c>
      <c r="B6" s="148" t="s">
        <v>66</v>
      </c>
      <c r="C6" s="110" t="s">
        <v>259</v>
      </c>
      <c r="D6" s="149">
        <v>340</v>
      </c>
      <c r="E6" s="116" t="s">
        <v>14</v>
      </c>
      <c r="F6" s="223" cm="1">
        <f t="array" ref="F6">IFERROR(INDEX(ราคาขนส่ง!$D$3:$D$102,MATCH(1,IF(ราคาขนส่ง!$B$3:$B$102=$B6,IF(ราคาขนส่ง!$C$3:$C$102=$E6,1)),0)),"")</f>
        <v>7.8</v>
      </c>
      <c r="G6" s="223">
        <f>IFERROR(IF(F6&gt;10,F6,F6*D6),"")</f>
        <v>2652</v>
      </c>
      <c r="H6" s="149"/>
      <c r="I6" s="111">
        <f>IFERROR(SUM(G6+H6),"")</f>
        <v>2652</v>
      </c>
      <c r="J6" s="112">
        <f>IFERROR(SUM(H6+I6),"")</f>
        <v>2652</v>
      </c>
      <c r="K6" s="108"/>
    </row>
    <row r="7" spans="1:11" ht="24" customHeight="1" x14ac:dyDescent="0.2">
      <c r="A7" s="234">
        <v>46145</v>
      </c>
      <c r="B7" s="235" t="s">
        <v>34</v>
      </c>
      <c r="C7" s="249" t="s">
        <v>246</v>
      </c>
      <c r="D7" s="236">
        <v>153</v>
      </c>
      <c r="E7" s="237" t="s">
        <v>15</v>
      </c>
      <c r="F7" s="241">
        <f t="array" ref="F7">IFERROR(INDEX(ราคาขนส่ง!$D$3:$D$102,MATCH(1,IF(ราคาขนส่ง!$B$3:$B$102=$B7,IF(ราคาขนส่ง!$C$3:$C$102=$E7,1)),0)),"")</f>
        <v>1650</v>
      </c>
      <c r="G7" s="150">
        <f t="shared" ref="G7:G22" si="3">IFERROR(IF(F7&gt;10,F7,F7*D7),"")</f>
        <v>1650</v>
      </c>
      <c r="H7" s="116"/>
      <c r="I7" s="111">
        <f t="shared" si="1"/>
        <v>1650</v>
      </c>
      <c r="J7" s="112">
        <f t="shared" si="2"/>
        <v>1650</v>
      </c>
      <c r="K7" s="108"/>
    </row>
    <row r="8" spans="1:11" ht="24" customHeight="1" x14ac:dyDescent="0.2">
      <c r="A8" s="234">
        <v>46146</v>
      </c>
      <c r="B8" s="235" t="s">
        <v>34</v>
      </c>
      <c r="C8" s="249" t="s">
        <v>261</v>
      </c>
      <c r="D8" s="236">
        <v>195</v>
      </c>
      <c r="E8" s="237" t="s">
        <v>15</v>
      </c>
      <c r="F8" s="241">
        <f t="array" ref="F8">IFERROR(INDEX(ราคาขนส่ง!$D$3:$D$102,MATCH(1,IF(ราคาขนส่ง!$B$3:$B$102=$B8,IF(ราคาขนส่ง!$C$3:$C$102=$E8,1)),0)),"")</f>
        <v>1650</v>
      </c>
      <c r="G8" s="241">
        <f t="shared" si="3"/>
        <v>1650</v>
      </c>
      <c r="H8" s="237"/>
      <c r="I8" s="239">
        <f t="shared" si="1"/>
        <v>1650</v>
      </c>
      <c r="J8" s="240">
        <f t="shared" si="2"/>
        <v>1650</v>
      </c>
      <c r="K8" s="242"/>
    </row>
    <row r="9" spans="1:11" ht="24" customHeight="1" x14ac:dyDescent="0.2">
      <c r="A9" s="234">
        <v>46147</v>
      </c>
      <c r="B9" s="148" t="s">
        <v>44</v>
      </c>
      <c r="C9" s="249" t="s">
        <v>263</v>
      </c>
      <c r="D9" s="236">
        <v>239</v>
      </c>
      <c r="E9" s="237" t="s">
        <v>14</v>
      </c>
      <c r="F9" s="238" cm="1">
        <f t="array" ref="F9">IFERROR(INDEX(ราคาขนส่ง!$D$3:$D$102,MATCH(1,IF(ราคาขนส่ง!$B$3:$B$102=$B9,IF(ราคาขนส่ง!$C$3:$C$102=$E9,1)),0)),"")</f>
        <v>3</v>
      </c>
      <c r="G9" s="238">
        <f>IFERROR(IF(F9&gt;10,F9,F9*D9),"")</f>
        <v>717</v>
      </c>
      <c r="H9" s="236"/>
      <c r="I9" s="239">
        <f>IFERROR(SUM(G9+H9),"")</f>
        <v>717</v>
      </c>
      <c r="J9" s="240">
        <f>IFERROR(SUM(H9+I9),"")</f>
        <v>717</v>
      </c>
      <c r="K9" s="242"/>
    </row>
    <row r="10" spans="1:11" ht="24" customHeight="1" x14ac:dyDescent="0.2">
      <c r="A10" s="234">
        <v>46147</v>
      </c>
      <c r="B10" s="148" t="s">
        <v>44</v>
      </c>
      <c r="C10" s="249" t="s">
        <v>264</v>
      </c>
      <c r="D10" s="236">
        <v>238</v>
      </c>
      <c r="E10" s="237" t="s">
        <v>14</v>
      </c>
      <c r="F10" s="241">
        <f t="array" ref="F10">IFERROR(INDEX(ราคาขนส่ง!$D$3:$D$102,MATCH(1,IF(ราคาขนส่ง!$B$3:$B$102=$B10,IF(ราคาขนส่ง!$C$3:$C$102=$E10,1)),0)),"")</f>
        <v>3</v>
      </c>
      <c r="G10" s="241">
        <f t="shared" si="3"/>
        <v>714</v>
      </c>
      <c r="H10" s="237"/>
      <c r="I10" s="239">
        <f t="shared" si="1"/>
        <v>714</v>
      </c>
      <c r="J10" s="240">
        <f t="shared" si="2"/>
        <v>714</v>
      </c>
      <c r="K10" s="367"/>
    </row>
    <row r="11" spans="1:11" ht="24" customHeight="1" x14ac:dyDescent="0.2">
      <c r="A11" s="109">
        <v>46148</v>
      </c>
      <c r="B11" s="148" t="s">
        <v>59</v>
      </c>
      <c r="C11" s="249" t="s">
        <v>266</v>
      </c>
      <c r="D11" s="236">
        <v>339</v>
      </c>
      <c r="E11" s="116" t="s">
        <v>14</v>
      </c>
      <c r="F11" s="238">
        <f t="array" ref="F11">IFERROR(INDEX(ราคาขนส่ง!$D$3:$D$102,MATCH(1,IF(ราคาขนส่ง!$B$3:$B$102=$B11,IF(ราคาขนส่ง!$C$3:$C$102=$E11,1)),0)),"")</f>
        <v>5.6</v>
      </c>
      <c r="G11" s="238">
        <f>IFERROR(IF(F11&gt;10,F11,F11*D11),"")</f>
        <v>1898.3999999999999</v>
      </c>
      <c r="H11" s="236"/>
      <c r="I11" s="239">
        <f>IFERROR(SUM(G11+H11),"")</f>
        <v>1898.3999999999999</v>
      </c>
      <c r="J11" s="240">
        <f>IFERROR(SUM(H11+I11),"")</f>
        <v>1898.3999999999999</v>
      </c>
      <c r="K11" s="242"/>
    </row>
    <row r="12" spans="1:11" ht="24" customHeight="1" x14ac:dyDescent="0.2">
      <c r="A12" s="109">
        <v>46149</v>
      </c>
      <c r="B12" s="235" t="s">
        <v>34</v>
      </c>
      <c r="C12" s="249" t="s">
        <v>268</v>
      </c>
      <c r="D12" s="236">
        <v>160</v>
      </c>
      <c r="E12" s="116" t="s">
        <v>15</v>
      </c>
      <c r="F12" s="223" cm="1">
        <f t="array" ref="F12">IFERROR(INDEX(ราคาขนส่ง!$D$3:$D$102,MATCH(1,IF(ราคาขนส่ง!$B$3:$B$102=$B12,IF(ราคาขนส่ง!$C$3:$C$102=$E12,1)),0)),"")</f>
        <v>1650</v>
      </c>
      <c r="G12" s="223">
        <f t="shared" ref="G12" si="4">IFERROR(IF(F12&gt;10,F12,F12*D12),"")</f>
        <v>1650</v>
      </c>
      <c r="H12" s="149"/>
      <c r="I12" s="111">
        <f t="shared" ref="I12" si="5">IFERROR(SUM(G12+H12),"")</f>
        <v>1650</v>
      </c>
      <c r="J12" s="112">
        <f t="shared" ref="J12" si="6">IFERROR(SUM(H12+I12),"")</f>
        <v>1650</v>
      </c>
      <c r="K12" s="319"/>
    </row>
    <row r="13" spans="1:11" ht="24" customHeight="1" x14ac:dyDescent="0.2">
      <c r="A13" s="109">
        <v>46150</v>
      </c>
      <c r="B13" s="148" t="s">
        <v>26</v>
      </c>
      <c r="C13" s="249" t="s">
        <v>232</v>
      </c>
      <c r="D13" s="236">
        <v>152</v>
      </c>
      <c r="E13" s="116" t="s">
        <v>15</v>
      </c>
      <c r="F13" s="223" cm="1">
        <f t="array" ref="F13">IFERROR(INDEX(ราคาขนส่ง!$D$3:$D$102,MATCH(1,IF(ราคาขนส่ง!$B$3:$B$102=$B13,IF(ราคาขนส่ง!$C$3:$C$102=$E13,1)),0)),"")</f>
        <v>1650</v>
      </c>
      <c r="G13" s="223">
        <f>IFERROR(IF(F13&gt;10,F13,F13*D13),"")</f>
        <v>1650</v>
      </c>
      <c r="H13" s="149"/>
      <c r="I13" s="111">
        <f>IFERROR(SUM(G13+H13),"")</f>
        <v>1650</v>
      </c>
      <c r="J13" s="112">
        <f>IFERROR(SUM(H13+I13),"")</f>
        <v>1650</v>
      </c>
      <c r="K13" s="319"/>
    </row>
    <row r="14" spans="1:11" ht="24" customHeight="1" x14ac:dyDescent="0.2">
      <c r="A14" s="109">
        <v>46151</v>
      </c>
      <c r="B14" s="148" t="s">
        <v>26</v>
      </c>
      <c r="C14" s="249" t="s">
        <v>269</v>
      </c>
      <c r="D14" s="236">
        <v>110</v>
      </c>
      <c r="E14" s="116" t="s">
        <v>15</v>
      </c>
      <c r="F14" s="355" cm="1">
        <f t="array" ref="F14">IFERROR(INDEX(ราคาขนส่ง!$D$3:$D$102,MATCH(1,IF(ราคาขนส่ง!$B$3:$B$102=$B14,IF(ราคาขนส่ง!$C$3:$C$102=$E14,1)),0)),"")</f>
        <v>1650</v>
      </c>
      <c r="G14" s="355">
        <f t="shared" ref="G14:G15" si="7">IFERROR(IF(F14&gt;10,F14,F14*D14),"")</f>
        <v>1650</v>
      </c>
      <c r="H14" s="149"/>
      <c r="I14" s="111">
        <f t="shared" ref="I14:I15" si="8">IFERROR(SUM(G14+H14),"")</f>
        <v>1650</v>
      </c>
      <c r="J14" s="112">
        <f t="shared" ref="J14:J15" si="9">IFERROR(SUM(H14+I14),"")</f>
        <v>1650</v>
      </c>
      <c r="K14" s="372"/>
    </row>
    <row r="15" spans="1:11" ht="24" customHeight="1" x14ac:dyDescent="0.2">
      <c r="A15" s="109">
        <v>46154</v>
      </c>
      <c r="B15" s="148" t="s">
        <v>26</v>
      </c>
      <c r="C15" s="249" t="s">
        <v>271</v>
      </c>
      <c r="D15" s="236">
        <v>150</v>
      </c>
      <c r="E15" s="116" t="s">
        <v>15</v>
      </c>
      <c r="F15" s="355" cm="1">
        <f t="array" ref="F15">IFERROR(INDEX(ราคาขนส่ง!$D$3:$D$102,MATCH(1,IF(ราคาขนส่ง!$B$3:$B$102=$B15,IF(ราคาขนส่ง!$C$3:$C$102=$E15,1)),0)),"")</f>
        <v>1650</v>
      </c>
      <c r="G15" s="355">
        <f t="shared" si="7"/>
        <v>1650</v>
      </c>
      <c r="H15" s="149"/>
      <c r="I15" s="111">
        <f t="shared" si="8"/>
        <v>1650</v>
      </c>
      <c r="J15" s="112">
        <f t="shared" si="9"/>
        <v>1650</v>
      </c>
      <c r="K15" s="358"/>
    </row>
    <row r="16" spans="1:11" ht="24" customHeight="1" x14ac:dyDescent="0.2">
      <c r="A16" s="234">
        <v>46155</v>
      </c>
      <c r="B16" s="235" t="s">
        <v>26</v>
      </c>
      <c r="C16" s="249" t="s">
        <v>272</v>
      </c>
      <c r="D16" s="236">
        <v>162</v>
      </c>
      <c r="E16" s="237" t="s">
        <v>15</v>
      </c>
      <c r="F16" s="364" cm="1">
        <f t="array" ref="F16">IFERROR(INDEX(ราคาขนส่ง!$D$3:$D$102,MATCH(1,IF(ราคาขนส่ง!$B$3:$B$102=$B16,IF(ราคาขนส่ง!$C$3:$C$102=$E16,1)),0)),"")</f>
        <v>1650</v>
      </c>
      <c r="G16" s="364">
        <f t="shared" ref="G16:G21" si="10">IFERROR(IF(F16&gt;10,F16,F16*D16),"")</f>
        <v>1650</v>
      </c>
      <c r="H16" s="236"/>
      <c r="I16" s="239">
        <f t="shared" ref="I16:J21" si="11">IFERROR(SUM(G16+H16),"")</f>
        <v>1650</v>
      </c>
      <c r="J16" s="240">
        <f t="shared" si="11"/>
        <v>1650</v>
      </c>
      <c r="K16" s="358"/>
    </row>
    <row r="17" spans="1:15" ht="24" customHeight="1" x14ac:dyDescent="0.2">
      <c r="A17" s="109">
        <v>46155</v>
      </c>
      <c r="B17" s="148" t="s">
        <v>44</v>
      </c>
      <c r="C17" s="249" t="s">
        <v>274</v>
      </c>
      <c r="D17" s="236">
        <v>248</v>
      </c>
      <c r="E17" s="237" t="s">
        <v>14</v>
      </c>
      <c r="F17" s="355" cm="1">
        <f t="array" ref="F17">IFERROR(INDEX(ราคาขนส่ง!$D$3:$D$102,MATCH(1,IF(ราคาขนส่ง!$B$3:$B$102=$B17,IF(ราคาขนส่ง!$C$3:$C$102=$E17,1)),0)),"")</f>
        <v>3</v>
      </c>
      <c r="G17" s="355">
        <f t="shared" si="10"/>
        <v>744</v>
      </c>
      <c r="H17" s="149"/>
      <c r="I17" s="111">
        <f t="shared" si="11"/>
        <v>744</v>
      </c>
      <c r="J17" s="112">
        <f t="shared" si="11"/>
        <v>744</v>
      </c>
      <c r="K17" s="358"/>
    </row>
    <row r="18" spans="1:15" ht="24" customHeight="1" x14ac:dyDescent="0.2">
      <c r="A18" s="109">
        <v>46156</v>
      </c>
      <c r="B18" s="148" t="s">
        <v>26</v>
      </c>
      <c r="C18" s="249" t="s">
        <v>276</v>
      </c>
      <c r="D18" s="236">
        <v>154</v>
      </c>
      <c r="E18" s="237" t="s">
        <v>15</v>
      </c>
      <c r="F18" s="355" cm="1">
        <f t="array" ref="F18">IFERROR(INDEX(ราคาขนส่ง!$D$3:$D$102,MATCH(1,IF(ราคาขนส่ง!$B$3:$B$102=$B18,IF(ราคาขนส่ง!$C$3:$C$102=$E18,1)),0)),"")</f>
        <v>1650</v>
      </c>
      <c r="G18" s="355">
        <f t="shared" si="10"/>
        <v>1650</v>
      </c>
      <c r="H18" s="149"/>
      <c r="I18" s="111">
        <f t="shared" si="11"/>
        <v>1650</v>
      </c>
      <c r="J18" s="112">
        <f t="shared" si="11"/>
        <v>1650</v>
      </c>
      <c r="K18" s="358"/>
    </row>
    <row r="19" spans="1:15" ht="24" customHeight="1" x14ac:dyDescent="0.2">
      <c r="A19" s="109">
        <v>46156</v>
      </c>
      <c r="B19" s="148" t="s">
        <v>34</v>
      </c>
      <c r="C19" s="249" t="s">
        <v>273</v>
      </c>
      <c r="D19" s="236">
        <v>149</v>
      </c>
      <c r="E19" s="237" t="s">
        <v>15</v>
      </c>
      <c r="F19" s="355" cm="1">
        <f t="array" ref="F19">IFERROR(INDEX(ราคาขนส่ง!$D$3:$D$102,MATCH(1,IF(ราคาขนส่ง!$B$3:$B$102=$B19,IF(ราคาขนส่ง!$C$3:$C$102=$E19,1)),0)),"")</f>
        <v>1650</v>
      </c>
      <c r="G19" s="355">
        <f t="shared" si="10"/>
        <v>1650</v>
      </c>
      <c r="H19" s="149"/>
      <c r="I19" s="111">
        <f t="shared" si="11"/>
        <v>1650</v>
      </c>
      <c r="J19" s="112">
        <f t="shared" si="11"/>
        <v>1650</v>
      </c>
      <c r="K19" s="358"/>
    </row>
    <row r="20" spans="1:15" ht="24" customHeight="1" x14ac:dyDescent="0.2">
      <c r="A20" s="386">
        <v>46157</v>
      </c>
      <c r="B20" s="387" t="s">
        <v>44</v>
      </c>
      <c r="C20" s="388" t="s">
        <v>277</v>
      </c>
      <c r="D20" s="406">
        <v>149</v>
      </c>
      <c r="E20" s="390" t="s">
        <v>14</v>
      </c>
      <c r="F20" s="391" cm="1">
        <f t="array" ref="F20">IFERROR(INDEX(ราคาขนส่ง!$D$3:$D$102,MATCH(1,IF(ราคาขนส่ง!$B$3:$B$102=$B20,IF(ราคาขนส่ง!$C$3:$C$102=$E20,1)),0)),"")</f>
        <v>3</v>
      </c>
      <c r="G20" s="391">
        <f t="shared" si="10"/>
        <v>447</v>
      </c>
      <c r="H20" s="389"/>
      <c r="I20" s="392">
        <f t="shared" si="11"/>
        <v>447</v>
      </c>
      <c r="J20" s="393">
        <f t="shared" si="11"/>
        <v>447</v>
      </c>
      <c r="K20" s="358"/>
      <c r="L20" s="370"/>
      <c r="M20" s="370"/>
      <c r="N20" s="370" t="s">
        <v>368</v>
      </c>
      <c r="O20" s="370"/>
    </row>
    <row r="21" spans="1:15" ht="24" customHeight="1" x14ac:dyDescent="0.2">
      <c r="A21" s="109">
        <v>46157</v>
      </c>
      <c r="B21" s="148" t="s">
        <v>19</v>
      </c>
      <c r="C21" s="249" t="s">
        <v>278</v>
      </c>
      <c r="D21" s="356">
        <v>134</v>
      </c>
      <c r="E21" s="237" t="s">
        <v>15</v>
      </c>
      <c r="F21" s="355" cm="1">
        <f t="array" ref="F21">IFERROR(INDEX(ราคาขนส่ง!$D$3:$D$102,MATCH(1,IF(ราคาขนส่ง!$B$3:$B$102=$B21,IF(ราคาขนส่ง!$C$3:$C$102=$E21,1)),0)),"")</f>
        <v>1300</v>
      </c>
      <c r="G21" s="355">
        <f t="shared" si="10"/>
        <v>1300</v>
      </c>
      <c r="H21" s="149"/>
      <c r="I21" s="111">
        <f t="shared" si="11"/>
        <v>1300</v>
      </c>
      <c r="J21" s="112">
        <f t="shared" si="11"/>
        <v>1300</v>
      </c>
      <c r="K21" s="358"/>
    </row>
    <row r="22" spans="1:15" ht="22.5" customHeight="1" x14ac:dyDescent="0.2">
      <c r="A22" s="109"/>
      <c r="B22" s="148"/>
      <c r="C22" s="110"/>
      <c r="D22" s="149"/>
      <c r="E22" s="116" t="s">
        <v>14</v>
      </c>
      <c r="F22" s="150" t="str">
        <f t="array" ref="F22">IFERROR(INDEX(ราคาขนส่ง!$D$3:$D$102,MATCH(1,IF(ราคาขนส่ง!$B$3:$B$102=$B22,IF(ราคาขนส่ง!$C$3:$C$102=$E22,1)),0)),"")</f>
        <v/>
      </c>
      <c r="G22" s="150" t="str">
        <f t="shared" si="3"/>
        <v/>
      </c>
      <c r="H22" s="116"/>
      <c r="I22" s="111" t="str">
        <f t="shared" si="1"/>
        <v/>
      </c>
      <c r="J22" s="112" t="str">
        <f t="shared" si="2"/>
        <v/>
      </c>
      <c r="K22" s="358"/>
    </row>
    <row r="23" spans="1:15" ht="23.25" x14ac:dyDescent="0.2">
      <c r="A23" s="22"/>
      <c r="B23" s="24" t="s">
        <v>7</v>
      </c>
      <c r="C23" s="17"/>
      <c r="D23" s="24">
        <f>SUM(D5:D22)</f>
        <v>3179</v>
      </c>
      <c r="E23" s="24"/>
      <c r="F23" s="25"/>
      <c r="G23" s="55"/>
      <c r="I23" s="64">
        <f>SUM(I5:I22)</f>
        <v>24972.400000000001</v>
      </c>
      <c r="J23" s="65">
        <f>SUM(J5:J22)</f>
        <v>24972.400000000001</v>
      </c>
      <c r="K23" s="56"/>
    </row>
    <row r="24" spans="1:15" ht="18.75" customHeight="1" x14ac:dyDescent="0.2">
      <c r="A24" s="26" t="s">
        <v>8</v>
      </c>
      <c r="B24" s="11"/>
      <c r="C24" s="57"/>
      <c r="D24" s="10"/>
      <c r="E24" s="10"/>
      <c r="F24" s="11"/>
      <c r="G24" s="19"/>
      <c r="H24" s="20"/>
      <c r="I24" s="58"/>
      <c r="J24" s="58"/>
      <c r="K24" s="59"/>
    </row>
    <row r="25" spans="1:15" ht="18.75" customHeight="1" x14ac:dyDescent="0.2">
      <c r="A25" s="12"/>
      <c r="B25" s="171" t="s">
        <v>9</v>
      </c>
      <c r="C25" s="172">
        <f>J23</f>
        <v>24972.400000000001</v>
      </c>
      <c r="D25" s="171" t="s">
        <v>10</v>
      </c>
      <c r="E25" s="171"/>
      <c r="F25" s="27"/>
      <c r="G25" s="19"/>
      <c r="H25" s="20"/>
      <c r="I25" s="58"/>
      <c r="J25" s="58"/>
      <c r="K25" s="59"/>
    </row>
    <row r="26" spans="1:15" ht="18.75" customHeight="1" x14ac:dyDescent="0.2">
      <c r="A26" s="12"/>
      <c r="B26" s="171" t="s">
        <v>11</v>
      </c>
      <c r="C26" s="173">
        <f>SUM(C25/100)</f>
        <v>249.72400000000002</v>
      </c>
      <c r="D26" s="171" t="s">
        <v>10</v>
      </c>
      <c r="E26" s="171"/>
      <c r="F26" s="27"/>
      <c r="G26" s="19"/>
      <c r="H26" s="20"/>
      <c r="I26" s="58"/>
      <c r="J26" s="58"/>
      <c r="K26" s="59"/>
    </row>
    <row r="27" spans="1:15" ht="18.75" customHeight="1" x14ac:dyDescent="0.2">
      <c r="A27" s="12"/>
      <c r="B27" s="174" t="s">
        <v>74</v>
      </c>
      <c r="C27" s="175">
        <f>+Table4567891011[[#Totals],[เป็นจำนวนเงิน(บาท)]]</f>
        <v>12000</v>
      </c>
      <c r="D27" s="174" t="s">
        <v>10</v>
      </c>
      <c r="E27" s="176"/>
      <c r="F27" s="28"/>
      <c r="G27" s="19"/>
      <c r="H27" s="20"/>
      <c r="I27" s="58"/>
      <c r="J27" s="58"/>
      <c r="K27" s="59"/>
    </row>
    <row r="28" spans="1:15" ht="18.75" customHeight="1" x14ac:dyDescent="0.2">
      <c r="A28" s="12"/>
      <c r="B28" s="177" t="str">
        <f>+รายการหัก!C2</f>
        <v>ค่าอัพเดทบิล</v>
      </c>
      <c r="C28" s="178">
        <f>+รายการหัก!C9</f>
        <v>0</v>
      </c>
      <c r="D28" s="177" t="s">
        <v>10</v>
      </c>
      <c r="E28" s="176"/>
      <c r="F28" s="28"/>
      <c r="G28" s="19"/>
      <c r="H28" s="20"/>
      <c r="I28" s="58"/>
      <c r="J28" s="58"/>
      <c r="K28" s="59"/>
    </row>
    <row r="29" spans="1:15" ht="18.75" customHeight="1" x14ac:dyDescent="0.2">
      <c r="A29" s="12"/>
      <c r="B29" s="179" t="str">
        <f>+รายการหัก!D2</f>
        <v>หักค่าโทรศัพท์</v>
      </c>
      <c r="C29" s="180">
        <f>+รายการหัก!D9</f>
        <v>0</v>
      </c>
      <c r="D29" s="179" t="s">
        <v>10</v>
      </c>
      <c r="E29" s="181"/>
      <c r="F29" s="11"/>
      <c r="G29" s="19"/>
      <c r="H29" s="20"/>
      <c r="I29" s="58"/>
      <c r="J29" s="58"/>
      <c r="K29" s="59"/>
    </row>
    <row r="30" spans="1:15" ht="18.75" customHeight="1" x14ac:dyDescent="0.2">
      <c r="A30" s="12"/>
      <c r="B30" s="182" t="str">
        <f>+รายการหัก!E2</f>
        <v>หักค่าGPS</v>
      </c>
      <c r="C30" s="163">
        <f>+รายการหัก!E9</f>
        <v>0</v>
      </c>
      <c r="D30" s="182" t="s">
        <v>10</v>
      </c>
      <c r="E30" s="163">
        <f>+รายการหัก!F9</f>
        <v>0</v>
      </c>
      <c r="F30" s="11"/>
      <c r="G30" s="19"/>
      <c r="H30" s="20"/>
      <c r="I30" s="58"/>
      <c r="J30" s="58"/>
      <c r="K30" s="59"/>
    </row>
    <row r="31" spans="1:15" ht="18.75" customHeight="1" x14ac:dyDescent="0.2">
      <c r="A31" s="12"/>
      <c r="B31" s="183" t="str">
        <f>+รายการหัก!G2</f>
        <v>หักค่ายืมเงิน</v>
      </c>
      <c r="C31" s="164">
        <f>+รายการหัก!G9</f>
        <v>0</v>
      </c>
      <c r="D31" s="183" t="s">
        <v>10</v>
      </c>
      <c r="E31" s="164">
        <f>+รายการหัก!H9</f>
        <v>0</v>
      </c>
      <c r="F31" s="11"/>
      <c r="G31" s="19"/>
      <c r="H31" s="20"/>
      <c r="I31" s="58"/>
      <c r="J31" s="58"/>
      <c r="K31" s="59"/>
    </row>
    <row r="32" spans="1:15" ht="18.75" customHeight="1" x14ac:dyDescent="0.2">
      <c r="A32" s="12"/>
      <c r="B32" s="184" t="str">
        <f>+รายการหัก!I2</f>
        <v>หักค่าสัญญาณGPS รายปี</v>
      </c>
      <c r="C32" s="165">
        <f>+รายการหัก!I9</f>
        <v>0</v>
      </c>
      <c r="D32" s="185" t="s">
        <v>10</v>
      </c>
      <c r="E32" s="165">
        <f>+รายการหัก!J7</f>
        <v>0</v>
      </c>
      <c r="F32" s="29"/>
      <c r="G32" s="19"/>
      <c r="H32" s="20"/>
      <c r="I32" s="58"/>
      <c r="J32" s="58"/>
      <c r="K32" s="59"/>
    </row>
    <row r="33" spans="1:11" ht="18.75" customHeight="1" x14ac:dyDescent="0.2">
      <c r="A33" s="12"/>
      <c r="B33" s="186" t="str">
        <f>+รายการหัก!K2</f>
        <v>หักค่าประกัน</v>
      </c>
      <c r="C33" s="166">
        <f>+รายการหัก!K9</f>
        <v>0</v>
      </c>
      <c r="D33" s="187" t="s">
        <v>10</v>
      </c>
      <c r="E33" s="166">
        <f>+รายการหัก!L9</f>
        <v>0</v>
      </c>
      <c r="F33" s="379"/>
      <c r="G33" s="379"/>
      <c r="H33" s="379"/>
      <c r="I33" s="379"/>
      <c r="J33" s="58"/>
      <c r="K33" s="59"/>
    </row>
    <row r="34" spans="1:11" ht="18.75" customHeight="1" x14ac:dyDescent="0.2">
      <c r="A34" s="23"/>
      <c r="B34" s="188" t="s">
        <v>12</v>
      </c>
      <c r="C34" s="189">
        <f>SUM(C25-C26-C27+C28-C29-C30-C31-C32-C33)</f>
        <v>12722.676000000003</v>
      </c>
      <c r="D34" s="188" t="s">
        <v>10</v>
      </c>
      <c r="E34" s="190"/>
      <c r="F34" s="30"/>
    </row>
    <row r="35" spans="1:11" ht="18.75" customHeight="1" x14ac:dyDescent="0.2">
      <c r="B35" s="222" t="s">
        <v>137</v>
      </c>
    </row>
  </sheetData>
  <mergeCells count="4">
    <mergeCell ref="A1:K1"/>
    <mergeCell ref="A2:B2"/>
    <mergeCell ref="A3:B3"/>
    <mergeCell ref="F33:I33"/>
  </mergeCells>
  <phoneticPr fontId="63" type="noConversion"/>
  <dataValidations count="1">
    <dataValidation type="list" allowBlank="1" showInputMessage="1" showErrorMessage="1" sqref="E5:E22" xr:uid="{54EACAAE-15AC-493E-A5A8-5BA54BED7EDE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3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A1C675-0527-4147-B496-99B195E136B7}">
          <x14:formula1>
            <xm:f>ราคาขนส่ง!$B$3:$B$52</xm:f>
          </x14:formula1>
          <xm:sqref>B5:B22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AFA7-89A1-468F-8817-717383C4495E}">
  <sheetPr>
    <tabColor rgb="FFFFCCFF"/>
  </sheetPr>
  <dimension ref="A1:D13"/>
  <sheetViews>
    <sheetView zoomScaleNormal="100" workbookViewId="0">
      <selection activeCell="I5" sqref="I5"/>
    </sheetView>
  </sheetViews>
  <sheetFormatPr defaultColWidth="7.125" defaultRowHeight="21" x14ac:dyDescent="0.45"/>
  <cols>
    <col min="1" max="1" width="8.3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+'ผฉ-302ตู้'!E2</f>
        <v>ผฉ-302 ตู้</v>
      </c>
      <c r="D2" s="90" t="str">
        <f>+'ผฉ-302ตู้'!I2</f>
        <v>นายสันติพงษ์ ทองเที่ยง</v>
      </c>
    </row>
    <row r="3" spans="1:4" ht="16.5" x14ac:dyDescent="0.35">
      <c r="A3" s="33"/>
    </row>
    <row r="4" spans="1:4" ht="37.5" customHeight="1" x14ac:dyDescent="0.35">
      <c r="A4" s="74" t="s">
        <v>13</v>
      </c>
      <c r="B4" s="75" t="s">
        <v>98</v>
      </c>
      <c r="C4" s="75" t="s">
        <v>99</v>
      </c>
      <c r="D4" s="76" t="s">
        <v>100</v>
      </c>
    </row>
    <row r="5" spans="1:4" ht="41.25" customHeight="1" x14ac:dyDescent="0.55000000000000004">
      <c r="A5" s="77">
        <v>1</v>
      </c>
      <c r="B5" s="78">
        <v>46143</v>
      </c>
      <c r="C5" s="79" t="s">
        <v>163</v>
      </c>
      <c r="D5" s="80">
        <v>2000</v>
      </c>
    </row>
    <row r="6" spans="1:4" ht="41.25" customHeight="1" x14ac:dyDescent="0.55000000000000004">
      <c r="A6" s="77">
        <v>2</v>
      </c>
      <c r="B6" s="78">
        <v>46147</v>
      </c>
      <c r="C6" s="79" t="s">
        <v>164</v>
      </c>
      <c r="D6" s="80">
        <v>2000</v>
      </c>
    </row>
    <row r="7" spans="1:4" ht="41.25" customHeight="1" x14ac:dyDescent="0.55000000000000004">
      <c r="A7" s="77">
        <v>3</v>
      </c>
      <c r="B7" s="78">
        <v>46148</v>
      </c>
      <c r="C7" s="79" t="s">
        <v>165</v>
      </c>
      <c r="D7" s="80">
        <v>1000</v>
      </c>
    </row>
    <row r="8" spans="1:4" ht="41.25" customHeight="1" x14ac:dyDescent="0.55000000000000004">
      <c r="A8" s="77">
        <v>4</v>
      </c>
      <c r="B8" s="78">
        <v>46150</v>
      </c>
      <c r="C8" s="79" t="s">
        <v>166</v>
      </c>
      <c r="D8" s="80">
        <v>2000</v>
      </c>
    </row>
    <row r="9" spans="1:4" ht="41.25" customHeight="1" x14ac:dyDescent="0.55000000000000004">
      <c r="A9" s="77">
        <v>5</v>
      </c>
      <c r="B9" s="360">
        <v>46152</v>
      </c>
      <c r="C9" s="361" t="s">
        <v>167</v>
      </c>
      <c r="D9" s="80">
        <v>1500</v>
      </c>
    </row>
    <row r="10" spans="1:4" ht="41.25" customHeight="1" x14ac:dyDescent="0.55000000000000004">
      <c r="A10" s="77">
        <v>6</v>
      </c>
      <c r="B10" s="78">
        <v>46153</v>
      </c>
      <c r="C10" s="79" t="s">
        <v>168</v>
      </c>
      <c r="D10" s="80">
        <v>2000</v>
      </c>
    </row>
    <row r="11" spans="1:4" ht="41.25" customHeight="1" x14ac:dyDescent="0.55000000000000004">
      <c r="A11" s="359">
        <v>7</v>
      </c>
      <c r="B11" s="360">
        <v>46155</v>
      </c>
      <c r="C11" s="361" t="s">
        <v>169</v>
      </c>
      <c r="D11" s="80">
        <v>1000</v>
      </c>
    </row>
    <row r="12" spans="1:4" ht="41.25" customHeight="1" x14ac:dyDescent="0.55000000000000004">
      <c r="A12" s="359">
        <v>8</v>
      </c>
      <c r="B12" s="360">
        <v>46156</v>
      </c>
      <c r="C12" s="361" t="s">
        <v>170</v>
      </c>
      <c r="D12" s="80">
        <v>500</v>
      </c>
    </row>
    <row r="13" spans="1:4" ht="37.5" customHeight="1" x14ac:dyDescent="0.55000000000000004">
      <c r="A13" s="81" t="s">
        <v>101</v>
      </c>
      <c r="B13" s="82"/>
      <c r="C13" s="82"/>
      <c r="D13" s="91">
        <f>SUBTOTAL(109,Table4567891011[เป็นจำนวนเงิน(บาท)])</f>
        <v>12000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E2AF-B9FC-4DCA-8037-5D9B642ADD7F}">
  <sheetPr>
    <tabColor rgb="FFFFCCFF"/>
  </sheetPr>
  <dimension ref="A1:M32"/>
  <sheetViews>
    <sheetView showWhiteSpace="0" topLeftCell="A4" zoomScale="110" zoomScaleNormal="110" workbookViewId="0">
      <selection activeCell="O8" sqref="O8"/>
    </sheetView>
  </sheetViews>
  <sheetFormatPr defaultColWidth="7.125" defaultRowHeight="21" x14ac:dyDescent="0.2"/>
  <cols>
    <col min="1" max="1" width="8.875" style="156" bestFit="1" customWidth="1"/>
    <col min="2" max="2" width="14.75" style="147" customWidth="1"/>
    <col min="3" max="3" width="10.875" style="147" bestFit="1" customWidth="1"/>
    <col min="4" max="4" width="6.75" style="147" customWidth="1"/>
    <col min="5" max="7" width="6.625" style="147" customWidth="1"/>
    <col min="8" max="8" width="3.5" style="147" customWidth="1"/>
    <col min="9" max="9" width="6" style="147" customWidth="1"/>
    <col min="10" max="10" width="8" style="147" customWidth="1"/>
    <col min="11" max="11" width="8.25" style="147" customWidth="1"/>
    <col min="12" max="16384" width="7.125" style="147"/>
  </cols>
  <sheetData>
    <row r="1" spans="1:13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3" ht="23.25" x14ac:dyDescent="0.2">
      <c r="A2" s="376" t="str">
        <f>+รายการหัก!I1</f>
        <v>รอบวันที่ 1-15 พฤษภาคม 2569</v>
      </c>
      <c r="B2" s="376"/>
      <c r="C2" s="67"/>
      <c r="D2" s="60" t="s">
        <v>41</v>
      </c>
      <c r="E2" s="69" t="s">
        <v>89</v>
      </c>
      <c r="F2" s="53"/>
      <c r="G2" s="53"/>
      <c r="H2" s="13"/>
      <c r="I2" s="67" t="str">
        <f>VLOOKUP(E2,Table22[],2,0)</f>
        <v>นายอนุสรณ์ พิมชะนะ</v>
      </c>
      <c r="J2" s="67"/>
    </row>
    <row r="3" spans="1:13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3" ht="18" x14ac:dyDescent="0.2">
      <c r="A4" s="340" t="s">
        <v>123</v>
      </c>
      <c r="B4" s="341" t="s">
        <v>1</v>
      </c>
      <c r="C4" s="342" t="s">
        <v>124</v>
      </c>
      <c r="D4" s="343" t="s">
        <v>125</v>
      </c>
      <c r="E4" s="344" t="s">
        <v>37</v>
      </c>
      <c r="F4" s="345" t="s">
        <v>2</v>
      </c>
      <c r="G4" s="346" t="s">
        <v>3</v>
      </c>
      <c r="H4" s="105" t="s">
        <v>4</v>
      </c>
      <c r="I4" s="347" t="s">
        <v>5</v>
      </c>
      <c r="J4" s="348" t="s">
        <v>126</v>
      </c>
      <c r="K4" s="108" t="s">
        <v>6</v>
      </c>
    </row>
    <row r="5" spans="1:13" ht="18.75" customHeight="1" x14ac:dyDescent="0.2">
      <c r="A5" s="397">
        <v>46143</v>
      </c>
      <c r="B5" s="398" t="s">
        <v>26</v>
      </c>
      <c r="C5" s="399" t="s">
        <v>241</v>
      </c>
      <c r="D5" s="400">
        <v>128</v>
      </c>
      <c r="E5" s="401" t="s">
        <v>15</v>
      </c>
      <c r="F5" s="402">
        <f t="array" ref="F5">IFERROR(INDEX(ราคาขนส่ง!$D$3:$D$102,MATCH(1,IF(ราคาขนส่ง!$B$3:$B$102=$B5,IF(ราคาขนส่ง!$C$3:$C$102=$E5,1)),0)),"")</f>
        <v>1650</v>
      </c>
      <c r="G5" s="402">
        <f t="shared" ref="G5" si="0">IFERROR(IF(F5&gt;10,F5,F5*D5),"")</f>
        <v>1650</v>
      </c>
      <c r="H5" s="401"/>
      <c r="I5" s="403">
        <f t="shared" ref="I5:I18" si="1">IFERROR(SUM(G5+H5),"")</f>
        <v>1650</v>
      </c>
      <c r="J5" s="404">
        <f t="shared" ref="J5:J18" si="2">IFERROR(SUM(H5+I5),"")</f>
        <v>1650</v>
      </c>
      <c r="K5" s="405"/>
    </row>
    <row r="6" spans="1:13" ht="18.75" customHeight="1" x14ac:dyDescent="0.2">
      <c r="A6" s="109">
        <v>46144</v>
      </c>
      <c r="B6" s="235" t="s">
        <v>66</v>
      </c>
      <c r="C6" s="249" t="s">
        <v>243</v>
      </c>
      <c r="D6" s="236">
        <v>339</v>
      </c>
      <c r="E6" s="116" t="s">
        <v>14</v>
      </c>
      <c r="F6" s="355" cm="1">
        <f t="array" ref="F6">IFERROR(INDEX(ราคาขนส่ง!$D$3:$D$102,MATCH(1,IF(ราคาขนส่ง!$B$3:$B$102=$B6,IF(ราคาขนส่ง!$C$3:$C$102=$E6,1)),0)),"")</f>
        <v>7.8</v>
      </c>
      <c r="G6" s="355">
        <f>IFERROR(IF(F6&gt;10,F6,F6*D6),"")</f>
        <v>2644.2</v>
      </c>
      <c r="H6" s="149"/>
      <c r="I6" s="111">
        <f>IFERROR(SUM(G6+H6),"")</f>
        <v>2644.2</v>
      </c>
      <c r="J6" s="112">
        <f>IFERROR(SUM(H6+I6),"")</f>
        <v>2644.2</v>
      </c>
      <c r="K6" s="358"/>
    </row>
    <row r="7" spans="1:13" ht="18.75" customHeight="1" x14ac:dyDescent="0.2">
      <c r="A7" s="109">
        <v>46145</v>
      </c>
      <c r="B7" s="235" t="s">
        <v>34</v>
      </c>
      <c r="C7" s="249" t="s">
        <v>245</v>
      </c>
      <c r="D7" s="236">
        <v>168</v>
      </c>
      <c r="E7" s="116" t="s">
        <v>15</v>
      </c>
      <c r="F7" s="150">
        <f t="array" ref="F7">IFERROR(INDEX(ราคาขนส่ง!$D$3:$D$102,MATCH(1,IF(ราคาขนส่ง!$B$3:$B$102=$B7,IF(ราคาขนส่ง!$C$3:$C$102=$E7,1)),0)),"")</f>
        <v>1650</v>
      </c>
      <c r="G7" s="150">
        <f t="shared" ref="G7:G18" si="3">IFERROR(IF(F7&gt;10,F7,F7*D7),"")</f>
        <v>1650</v>
      </c>
      <c r="H7" s="116"/>
      <c r="I7" s="111">
        <f t="shared" si="1"/>
        <v>1650</v>
      </c>
      <c r="J7" s="112">
        <f t="shared" si="2"/>
        <v>1650</v>
      </c>
      <c r="K7" s="108"/>
    </row>
    <row r="8" spans="1:13" ht="18.75" customHeight="1" x14ac:dyDescent="0.2">
      <c r="A8" s="109">
        <v>46147</v>
      </c>
      <c r="B8" s="235" t="s">
        <v>66</v>
      </c>
      <c r="C8" s="249" t="s">
        <v>247</v>
      </c>
      <c r="D8" s="236">
        <v>440</v>
      </c>
      <c r="E8" s="116" t="s">
        <v>14</v>
      </c>
      <c r="F8" s="355" cm="1">
        <f t="array" ref="F8">IFERROR(INDEX(ราคาขนส่ง!$D$3:$D$102,MATCH(1,IF(ราคาขนส่ง!$B$3:$B$102=$B8,IF(ราคาขนส่ง!$C$3:$C$102=$E8,1)),0)),"")</f>
        <v>7.8</v>
      </c>
      <c r="G8" s="355">
        <f t="shared" ref="G8:G10" si="4">IFERROR(IF(F8&gt;10,F8,F8*D8),"")</f>
        <v>3432</v>
      </c>
      <c r="H8" s="149"/>
      <c r="I8" s="111">
        <f t="shared" ref="I8:I10" si="5">IFERROR(SUM(G8+H8),"")</f>
        <v>3432</v>
      </c>
      <c r="J8" s="112">
        <f t="shared" ref="J8:J10" si="6">IFERROR(SUM(H8+I8),"")</f>
        <v>3432</v>
      </c>
      <c r="K8" s="108"/>
    </row>
    <row r="9" spans="1:13" ht="18.75" customHeight="1" x14ac:dyDescent="0.2">
      <c r="A9" s="109">
        <v>46148</v>
      </c>
      <c r="B9" s="235" t="s">
        <v>60</v>
      </c>
      <c r="C9" s="249" t="s">
        <v>249</v>
      </c>
      <c r="D9" s="236">
        <v>339</v>
      </c>
      <c r="E9" s="116" t="s">
        <v>14</v>
      </c>
      <c r="F9" s="355" cm="1">
        <f t="array" ref="F9">IFERROR(INDEX(ราคาขนส่ง!$D$3:$D$102,MATCH(1,IF(ราคาขนส่ง!$B$3:$B$102=$B9,IF(ราคาขนส่ง!$C$3:$C$102=$E9,1)),0)),"")</f>
        <v>5.6</v>
      </c>
      <c r="G9" s="355">
        <f t="shared" si="4"/>
        <v>1898.3999999999999</v>
      </c>
      <c r="H9" s="149"/>
      <c r="I9" s="111">
        <f t="shared" si="5"/>
        <v>1898.3999999999999</v>
      </c>
      <c r="J9" s="112">
        <f t="shared" si="6"/>
        <v>1898.3999999999999</v>
      </c>
      <c r="K9" s="108"/>
    </row>
    <row r="10" spans="1:13" ht="18.75" customHeight="1" x14ac:dyDescent="0.2">
      <c r="A10" s="109">
        <v>46148</v>
      </c>
      <c r="B10" s="235" t="s">
        <v>26</v>
      </c>
      <c r="C10" s="249" t="s">
        <v>250</v>
      </c>
      <c r="D10" s="236">
        <v>137</v>
      </c>
      <c r="E10" s="116" t="s">
        <v>15</v>
      </c>
      <c r="F10" s="355" cm="1">
        <f t="array" ref="F10">IFERROR(INDEX(ราคาขนส่ง!$D$3:$D$102,MATCH(1,IF(ราคาขนส่ง!$B$3:$B$102=$B10,IF(ราคาขนส่ง!$C$3:$C$102=$E10,1)),0)),"")</f>
        <v>1650</v>
      </c>
      <c r="G10" s="355">
        <f t="shared" si="4"/>
        <v>1650</v>
      </c>
      <c r="H10" s="149"/>
      <c r="I10" s="111">
        <f t="shared" si="5"/>
        <v>1650</v>
      </c>
      <c r="J10" s="112">
        <f t="shared" si="6"/>
        <v>1650</v>
      </c>
      <c r="K10" s="108"/>
    </row>
    <row r="11" spans="1:13" ht="18.75" customHeight="1" x14ac:dyDescent="0.2">
      <c r="A11" s="109">
        <v>46149</v>
      </c>
      <c r="B11" s="235" t="s">
        <v>26</v>
      </c>
      <c r="C11" s="249" t="s">
        <v>251</v>
      </c>
      <c r="D11" s="236">
        <v>200</v>
      </c>
      <c r="E11" s="116" t="s">
        <v>15</v>
      </c>
      <c r="F11" s="355" cm="1">
        <f t="array" ref="F11">IFERROR(INDEX(ราคาขนส่ง!$D$3:$D$102,MATCH(1,IF(ราคาขนส่ง!$B$3:$B$102=$B11,IF(ราคาขนส่ง!$C$3:$C$102=$E11,1)),0)),"")</f>
        <v>1650</v>
      </c>
      <c r="G11" s="355">
        <f t="shared" ref="G11:G17" si="7">IFERROR(IF(F11&gt;10,F11,F11*D11),"")</f>
        <v>1650</v>
      </c>
      <c r="H11" s="149"/>
      <c r="I11" s="111">
        <f t="shared" ref="I11:J13" si="8">IFERROR(SUM(G11+H11),"")</f>
        <v>1650</v>
      </c>
      <c r="J11" s="112">
        <f t="shared" si="8"/>
        <v>1650</v>
      </c>
      <c r="K11" s="358"/>
    </row>
    <row r="12" spans="1:13" ht="18.75" customHeight="1" x14ac:dyDescent="0.2">
      <c r="A12" s="109">
        <v>46150</v>
      </c>
      <c r="B12" s="148" t="s">
        <v>67</v>
      </c>
      <c r="C12" s="249" t="s">
        <v>252</v>
      </c>
      <c r="D12" s="356">
        <v>74</v>
      </c>
      <c r="E12" s="357" t="s">
        <v>15</v>
      </c>
      <c r="F12" s="355" cm="1">
        <f t="array" ref="F12">IFERROR(INDEX(ราคาขนส่ง!$D$3:$D$102,MATCH(1,IF(ราคาขนส่ง!$B$3:$B$102=$B12,IF(ราคาขนส่ง!$C$3:$C$102=$E12,1)),0)),"")</f>
        <v>2000</v>
      </c>
      <c r="G12" s="355">
        <f t="shared" si="7"/>
        <v>2000</v>
      </c>
      <c r="H12" s="149"/>
      <c r="I12" s="111">
        <f t="shared" si="8"/>
        <v>2000</v>
      </c>
      <c r="J12" s="112">
        <f t="shared" si="8"/>
        <v>2000</v>
      </c>
      <c r="K12" s="358"/>
    </row>
    <row r="13" spans="1:13" ht="18.75" customHeight="1" x14ac:dyDescent="0.2">
      <c r="A13" s="109">
        <v>46151</v>
      </c>
      <c r="B13" s="235" t="s">
        <v>26</v>
      </c>
      <c r="C13" s="249" t="s">
        <v>253</v>
      </c>
      <c r="D13" s="356">
        <v>150</v>
      </c>
      <c r="E13" s="357" t="s">
        <v>15</v>
      </c>
      <c r="F13" s="355" cm="1">
        <f t="array" ref="F13">IFERROR(INDEX(ราคาขนส่ง!$D$3:$D$102,MATCH(1,IF(ราคาขนส่ง!$B$3:$B$102=$B13,IF(ราคาขนส่ง!$C$3:$C$102=$E13,1)),0)),"")</f>
        <v>1650</v>
      </c>
      <c r="G13" s="355">
        <f t="shared" si="7"/>
        <v>1650</v>
      </c>
      <c r="H13" s="149"/>
      <c r="I13" s="111">
        <f t="shared" si="8"/>
        <v>1650</v>
      </c>
      <c r="J13" s="112">
        <f t="shared" si="8"/>
        <v>1650</v>
      </c>
      <c r="K13" s="358"/>
    </row>
    <row r="14" spans="1:13" ht="18.75" customHeight="1" x14ac:dyDescent="0.2">
      <c r="A14" s="386">
        <v>46153</v>
      </c>
      <c r="B14" s="387" t="s">
        <v>44</v>
      </c>
      <c r="C14" s="388" t="s">
        <v>254</v>
      </c>
      <c r="D14" s="389">
        <v>210</v>
      </c>
      <c r="E14" s="390" t="s">
        <v>14</v>
      </c>
      <c r="F14" s="396" cm="1">
        <f t="array" ref="F14">IFERROR(INDEX(ราคาขนส่ง!$D$3:$D$102,MATCH(1,IF(ราคาขนส่ง!$B$3:$B$102=$B14,IF(ราคาขนส่ง!$C$3:$C$102=$E14,1)),0)),"")</f>
        <v>3</v>
      </c>
      <c r="G14" s="396">
        <f t="shared" si="7"/>
        <v>630</v>
      </c>
      <c r="H14" s="389"/>
      <c r="I14" s="392">
        <f t="shared" ref="I14:J17" si="9">IFERROR(SUM(G14+H14),"")</f>
        <v>630</v>
      </c>
      <c r="J14" s="393">
        <f t="shared" si="9"/>
        <v>630</v>
      </c>
      <c r="K14" s="108"/>
      <c r="M14" s="370" t="s">
        <v>367</v>
      </c>
    </row>
    <row r="15" spans="1:13" ht="18.75" customHeight="1" x14ac:dyDescent="0.2">
      <c r="A15" s="109">
        <v>46155</v>
      </c>
      <c r="B15" s="235" t="s">
        <v>26</v>
      </c>
      <c r="C15" s="249" t="s">
        <v>255</v>
      </c>
      <c r="D15" s="356">
        <v>71</v>
      </c>
      <c r="E15" s="357" t="s">
        <v>15</v>
      </c>
      <c r="F15" s="355" cm="1">
        <f t="array" ref="F15">IFERROR(INDEX(ราคาขนส่ง!$D$3:$D$102,MATCH(1,IF(ราคาขนส่ง!$B$3:$B$102=$B15,IF(ราคาขนส่ง!$C$3:$C$102=$E15,1)),0)),"")</f>
        <v>1650</v>
      </c>
      <c r="G15" s="355">
        <f t="shared" si="7"/>
        <v>1650</v>
      </c>
      <c r="H15" s="149"/>
      <c r="I15" s="111">
        <f>IFERROR(SUM(G15+H15),"")</f>
        <v>1650</v>
      </c>
      <c r="J15" s="112">
        <f>IFERROR(SUM(H15+I15),"")</f>
        <v>1650</v>
      </c>
      <c r="K15" s="358"/>
    </row>
    <row r="16" spans="1:13" ht="18.75" customHeight="1" x14ac:dyDescent="0.2">
      <c r="A16" s="109">
        <v>46156</v>
      </c>
      <c r="B16" s="235" t="s">
        <v>26</v>
      </c>
      <c r="C16" s="249" t="s">
        <v>256</v>
      </c>
      <c r="D16" s="356">
        <v>168</v>
      </c>
      <c r="E16" s="357" t="s">
        <v>15</v>
      </c>
      <c r="F16" s="223" cm="1">
        <f t="array" ref="F16">IFERROR(INDEX(ราคาขนส่ง!$D$3:$D$102,MATCH(1,IF(ราคาขนส่ง!$B$3:$B$102=$B16,IF(ราคาขนส่ง!$C$3:$C$102=$E16,1)),0)),"")</f>
        <v>1650</v>
      </c>
      <c r="G16" s="223">
        <f t="shared" si="7"/>
        <v>1650</v>
      </c>
      <c r="H16" s="149"/>
      <c r="I16" s="111">
        <f t="shared" si="9"/>
        <v>1650</v>
      </c>
      <c r="J16" s="112">
        <f t="shared" si="9"/>
        <v>1650</v>
      </c>
      <c r="K16" s="108"/>
    </row>
    <row r="17" spans="1:11" ht="18.75" customHeight="1" x14ac:dyDescent="0.2">
      <c r="A17" s="109">
        <v>46157</v>
      </c>
      <c r="B17" s="235" t="s">
        <v>26</v>
      </c>
      <c r="C17" s="249" t="s">
        <v>257</v>
      </c>
      <c r="D17" s="356">
        <v>123</v>
      </c>
      <c r="E17" s="357" t="s">
        <v>15</v>
      </c>
      <c r="F17" s="223" cm="1">
        <f t="array" ref="F17">IFERROR(INDEX(ราคาขนส่ง!$D$3:$D$102,MATCH(1,IF(ราคาขนส่ง!$B$3:$B$102=$B17,IF(ราคาขนส่ง!$C$3:$C$102=$E17,1)),0)),"")</f>
        <v>1650</v>
      </c>
      <c r="G17" s="223">
        <f t="shared" si="7"/>
        <v>1650</v>
      </c>
      <c r="H17" s="149"/>
      <c r="I17" s="111">
        <f t="shared" si="9"/>
        <v>1650</v>
      </c>
      <c r="J17" s="112">
        <f t="shared" si="9"/>
        <v>1650</v>
      </c>
      <c r="K17" s="108"/>
    </row>
    <row r="18" spans="1:11" ht="18" customHeight="1" x14ac:dyDescent="0.2">
      <c r="A18" s="109"/>
      <c r="B18" s="148"/>
      <c r="C18" s="110"/>
      <c r="D18" s="149"/>
      <c r="E18" s="116" t="s">
        <v>14</v>
      </c>
      <c r="F18" s="150" t="str">
        <f t="array" ref="F18">IFERROR(INDEX(ราคาขนส่ง!$D$3:$D$102,MATCH(1,IF(ราคาขนส่ง!$B$3:$B$102=$B18,IF(ราคาขนส่ง!$C$3:$C$102=$E18,1)),0)),"")</f>
        <v/>
      </c>
      <c r="G18" s="150" t="str">
        <f t="shared" si="3"/>
        <v/>
      </c>
      <c r="H18" s="116"/>
      <c r="I18" s="111" t="str">
        <f t="shared" si="1"/>
        <v/>
      </c>
      <c r="J18" s="112" t="str">
        <f t="shared" si="2"/>
        <v/>
      </c>
      <c r="K18" s="108"/>
    </row>
    <row r="19" spans="1:11" ht="23.25" x14ac:dyDescent="0.2">
      <c r="A19" s="22"/>
      <c r="B19" s="24" t="s">
        <v>7</v>
      </c>
      <c r="C19" s="17"/>
      <c r="D19" s="24">
        <f>SUM(D5:D18)</f>
        <v>2547</v>
      </c>
      <c r="E19" s="24"/>
      <c r="F19" s="25"/>
      <c r="G19" s="55"/>
      <c r="I19" s="64">
        <f>SUM(I5:I18)</f>
        <v>23804.6</v>
      </c>
      <c r="J19" s="65">
        <f>SUM(J5:J18)</f>
        <v>23804.6</v>
      </c>
      <c r="K19" s="56"/>
    </row>
    <row r="20" spans="1:11" ht="23.25" x14ac:dyDescent="0.2">
      <c r="A20" s="26" t="s">
        <v>8</v>
      </c>
      <c r="B20" s="11"/>
      <c r="C20" s="57"/>
      <c r="D20" s="10"/>
      <c r="E20" s="10"/>
      <c r="F20" s="11"/>
      <c r="G20" s="19"/>
      <c r="H20" s="20"/>
      <c r="I20" s="58"/>
      <c r="J20" s="58"/>
      <c r="K20" s="59"/>
    </row>
    <row r="21" spans="1:11" ht="18.75" x14ac:dyDescent="0.2">
      <c r="A21" s="272"/>
      <c r="B21" s="273" t="s">
        <v>9</v>
      </c>
      <c r="C21" s="274">
        <f>J19</f>
        <v>23804.6</v>
      </c>
      <c r="D21" s="273" t="s">
        <v>10</v>
      </c>
      <c r="E21" s="273"/>
      <c r="F21" s="275"/>
      <c r="G21" s="276"/>
      <c r="H21" s="277"/>
      <c r="I21" s="270"/>
      <c r="J21" s="270"/>
      <c r="K21" s="59"/>
    </row>
    <row r="22" spans="1:11" ht="18.75" x14ac:dyDescent="0.2">
      <c r="A22" s="272"/>
      <c r="B22" s="273" t="s">
        <v>11</v>
      </c>
      <c r="C22" s="278">
        <f>SUM(C21/100)</f>
        <v>238.04599999999999</v>
      </c>
      <c r="D22" s="273" t="s">
        <v>10</v>
      </c>
      <c r="E22" s="273"/>
      <c r="F22" s="275"/>
      <c r="G22" s="276"/>
      <c r="H22" s="277"/>
      <c r="I22" s="270"/>
      <c r="J22" s="270"/>
      <c r="K22" s="59"/>
    </row>
    <row r="23" spans="1:11" ht="18.75" x14ac:dyDescent="0.2">
      <c r="A23" s="272"/>
      <c r="B23" s="279" t="s">
        <v>74</v>
      </c>
      <c r="C23" s="280">
        <f>+Table456789101112131415[[#Totals],[เป็นจำนวนเงิน(บาท)]]</f>
        <v>12500</v>
      </c>
      <c r="D23" s="279" t="s">
        <v>10</v>
      </c>
      <c r="E23" s="279"/>
      <c r="F23" s="281"/>
      <c r="G23" s="276"/>
      <c r="H23" s="277"/>
      <c r="I23" s="270"/>
      <c r="J23" s="270"/>
      <c r="K23" s="59"/>
    </row>
    <row r="24" spans="1:11" ht="18.75" x14ac:dyDescent="0.2">
      <c r="A24" s="272"/>
      <c r="B24" s="282" t="str">
        <f>+รายการหัก!C2</f>
        <v>ค่าอัพเดทบิล</v>
      </c>
      <c r="C24" s="283">
        <f>+รายการหัก!C12</f>
        <v>0</v>
      </c>
      <c r="D24" s="282" t="s">
        <v>10</v>
      </c>
      <c r="E24" s="279"/>
      <c r="F24" s="281"/>
      <c r="G24" s="276"/>
      <c r="H24" s="277"/>
      <c r="I24" s="270"/>
      <c r="J24" s="270"/>
      <c r="K24" s="59"/>
    </row>
    <row r="25" spans="1:11" ht="18.75" x14ac:dyDescent="0.2">
      <c r="A25" s="272"/>
      <c r="B25" s="284" t="str">
        <f>+รายการหัก!D2</f>
        <v>หักค่าโทรศัพท์</v>
      </c>
      <c r="C25" s="285">
        <f>+รายการหัก!D12</f>
        <v>0</v>
      </c>
      <c r="D25" s="284" t="s">
        <v>10</v>
      </c>
      <c r="E25" s="284"/>
      <c r="F25" s="272"/>
      <c r="G25" s="276"/>
      <c r="H25" s="277"/>
      <c r="I25" s="270"/>
      <c r="J25" s="270"/>
      <c r="K25" s="59"/>
    </row>
    <row r="26" spans="1:11" ht="18.75" x14ac:dyDescent="0.2">
      <c r="A26" s="272"/>
      <c r="B26" s="286" t="str">
        <f>+รายการหัก!E2</f>
        <v>หักค่าGPS</v>
      </c>
      <c r="C26" s="287">
        <f>+รายการหัก!E12</f>
        <v>0</v>
      </c>
      <c r="D26" s="286" t="s">
        <v>10</v>
      </c>
      <c r="E26" s="287">
        <f>+รายการหัก!F12</f>
        <v>0</v>
      </c>
      <c r="F26" s="272"/>
      <c r="G26" s="276"/>
      <c r="H26" s="277"/>
      <c r="I26" s="270"/>
      <c r="J26" s="270"/>
      <c r="K26" s="59"/>
    </row>
    <row r="27" spans="1:11" ht="18.75" x14ac:dyDescent="0.2">
      <c r="A27" s="272"/>
      <c r="B27" s="288" t="str">
        <f>+รายการหัก!G2</f>
        <v>หักค่ายืมเงิน</v>
      </c>
      <c r="C27" s="289">
        <f>+รายการหัก!G12</f>
        <v>0</v>
      </c>
      <c r="D27" s="288" t="s">
        <v>10</v>
      </c>
      <c r="E27" s="289">
        <f>+รายการหัก!H12</f>
        <v>0</v>
      </c>
      <c r="F27" s="384"/>
      <c r="G27" s="384"/>
      <c r="H27" s="384"/>
      <c r="I27" s="270"/>
      <c r="J27" s="270"/>
      <c r="K27" s="59"/>
    </row>
    <row r="28" spans="1:11" ht="18.75" x14ac:dyDescent="0.2">
      <c r="A28" s="272"/>
      <c r="B28" s="184" t="str">
        <f>+รายการหัก!I2</f>
        <v>หักค่าสัญญาณGPS รายปี</v>
      </c>
      <c r="C28" s="290">
        <f>+รายการหัก!I12</f>
        <v>0</v>
      </c>
      <c r="D28" s="184" t="s">
        <v>10</v>
      </c>
      <c r="E28" s="290">
        <f>+รายการหัก!J12</f>
        <v>0</v>
      </c>
      <c r="F28" s="291"/>
      <c r="G28" s="276"/>
      <c r="H28" s="277"/>
      <c r="I28" s="270"/>
      <c r="J28" s="270"/>
      <c r="K28" s="59"/>
    </row>
    <row r="29" spans="1:11" ht="18.75" x14ac:dyDescent="0.2">
      <c r="A29" s="272"/>
      <c r="B29" s="186" t="str">
        <f>+รายการหัก!K2</f>
        <v>หักค่าประกัน</v>
      </c>
      <c r="C29" s="292">
        <f>+รายการหัก!K12</f>
        <v>0</v>
      </c>
      <c r="D29" s="186" t="s">
        <v>10</v>
      </c>
      <c r="E29" s="292">
        <f>+รายการหัก!L12</f>
        <v>0</v>
      </c>
      <c r="F29" s="291"/>
      <c r="G29" s="276"/>
      <c r="H29" s="277"/>
      <c r="I29" s="270"/>
      <c r="J29" s="270"/>
      <c r="K29" s="59"/>
    </row>
    <row r="30" spans="1:11" ht="18.75" x14ac:dyDescent="0.2">
      <c r="A30" s="293"/>
      <c r="B30" s="294" t="s">
        <v>12</v>
      </c>
      <c r="C30" s="295">
        <f>SUM(C21-C22-C23+C24-C25-C26-C27-C28-C29)</f>
        <v>11066.554</v>
      </c>
      <c r="D30" s="294" t="s">
        <v>10</v>
      </c>
      <c r="E30" s="296"/>
      <c r="F30" s="297"/>
      <c r="G30" s="298"/>
      <c r="H30" s="298"/>
      <c r="I30" s="271"/>
      <c r="J30" s="271"/>
    </row>
    <row r="31" spans="1:11" ht="18.75" x14ac:dyDescent="0.2">
      <c r="A31" s="298"/>
      <c r="B31" s="298"/>
      <c r="C31" s="298"/>
      <c r="D31" s="298"/>
      <c r="E31" s="298"/>
      <c r="F31" s="298"/>
      <c r="G31" s="298"/>
      <c r="H31" s="298"/>
    </row>
    <row r="32" spans="1:11" ht="23.25" x14ac:dyDescent="0.2">
      <c r="B32" s="222" t="s">
        <v>137</v>
      </c>
    </row>
  </sheetData>
  <mergeCells count="4">
    <mergeCell ref="A1:K1"/>
    <mergeCell ref="A2:B2"/>
    <mergeCell ref="A3:B3"/>
    <mergeCell ref="F27:H27"/>
  </mergeCells>
  <phoneticPr fontId="63" type="noConversion"/>
  <dataValidations count="1">
    <dataValidation type="list" allowBlank="1" showInputMessage="1" showErrorMessage="1" sqref="E5:E18" xr:uid="{45C7F2D8-E418-4642-80AE-840B1F0A3EAB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6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FA4367-480C-40A4-AD82-6DBC33AE2872}">
          <x14:formula1>
            <xm:f>ราคาขนส่ง!$B$3:$B$52</xm:f>
          </x14:formula1>
          <xm:sqref>B5:B18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B276-CD33-42F9-9985-9A07F9BBB940}">
  <sheetPr>
    <tabColor rgb="FFFFCCFF"/>
  </sheetPr>
  <dimension ref="A1:D13"/>
  <sheetViews>
    <sheetView topLeftCell="A6" zoomScaleNormal="100" workbookViewId="0">
      <selection activeCell="A13" sqref="A13"/>
    </sheetView>
  </sheetViews>
  <sheetFormatPr defaultColWidth="7.125" defaultRowHeight="21" x14ac:dyDescent="0.45"/>
  <cols>
    <col min="1" max="1" width="9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+'ผฉ-3101ตู้'!E2</f>
        <v>ผฉ-3101 ตู้</v>
      </c>
      <c r="D2" s="90" t="str">
        <f>+'ผฉ-3101ตู้'!I2</f>
        <v>นายอนุสรณ์ พิมชะนะ</v>
      </c>
    </row>
    <row r="3" spans="1:4" ht="16.5" x14ac:dyDescent="0.35">
      <c r="A3" s="33"/>
    </row>
    <row r="4" spans="1:4" ht="26.25" x14ac:dyDescent="0.35">
      <c r="A4" s="74" t="s">
        <v>13</v>
      </c>
      <c r="B4" s="75" t="s">
        <v>98</v>
      </c>
      <c r="C4" s="75" t="s">
        <v>99</v>
      </c>
      <c r="D4" s="76" t="s">
        <v>100</v>
      </c>
    </row>
    <row r="5" spans="1:4" ht="39.75" customHeight="1" x14ac:dyDescent="0.55000000000000004">
      <c r="A5" s="77">
        <v>1</v>
      </c>
      <c r="B5" s="78">
        <v>46143</v>
      </c>
      <c r="C5" s="79" t="s">
        <v>171</v>
      </c>
      <c r="D5" s="80">
        <v>2500</v>
      </c>
    </row>
    <row r="6" spans="1:4" ht="39.75" customHeight="1" x14ac:dyDescent="0.55000000000000004">
      <c r="A6" s="359">
        <v>2</v>
      </c>
      <c r="B6" s="360">
        <v>46146</v>
      </c>
      <c r="C6" s="361" t="s">
        <v>172</v>
      </c>
      <c r="D6" s="80">
        <v>1500</v>
      </c>
    </row>
    <row r="7" spans="1:4" ht="39.75" customHeight="1" x14ac:dyDescent="0.55000000000000004">
      <c r="A7" s="359">
        <v>3</v>
      </c>
      <c r="B7" s="360">
        <v>46146</v>
      </c>
      <c r="C7" s="361" t="s">
        <v>173</v>
      </c>
      <c r="D7" s="80">
        <v>1000</v>
      </c>
    </row>
    <row r="8" spans="1:4" ht="39.75" customHeight="1" x14ac:dyDescent="0.55000000000000004">
      <c r="A8" s="359">
        <v>4</v>
      </c>
      <c r="B8" s="360">
        <v>46148</v>
      </c>
      <c r="C8" s="361" t="s">
        <v>174</v>
      </c>
      <c r="D8" s="80">
        <v>2000</v>
      </c>
    </row>
    <row r="9" spans="1:4" ht="39.75" customHeight="1" x14ac:dyDescent="0.55000000000000004">
      <c r="A9" s="359">
        <v>5</v>
      </c>
      <c r="B9" s="360">
        <v>46150</v>
      </c>
      <c r="C9" s="361" t="s">
        <v>175</v>
      </c>
      <c r="D9" s="80">
        <v>1500</v>
      </c>
    </row>
    <row r="10" spans="1:4" ht="39.75" customHeight="1" x14ac:dyDescent="0.55000000000000004">
      <c r="A10" s="359">
        <v>6</v>
      </c>
      <c r="B10" s="360">
        <v>46151</v>
      </c>
      <c r="C10" s="361" t="s">
        <v>176</v>
      </c>
      <c r="D10" s="80">
        <v>1500</v>
      </c>
    </row>
    <row r="11" spans="1:4" ht="39.75" customHeight="1" x14ac:dyDescent="0.55000000000000004">
      <c r="A11" s="359">
        <v>7</v>
      </c>
      <c r="B11" s="360">
        <v>46155</v>
      </c>
      <c r="C11" s="361" t="s">
        <v>177</v>
      </c>
      <c r="D11" s="80">
        <v>1500</v>
      </c>
    </row>
    <row r="12" spans="1:4" ht="39.75" customHeight="1" x14ac:dyDescent="0.55000000000000004">
      <c r="A12" s="359">
        <v>8</v>
      </c>
      <c r="B12" s="360">
        <v>46157</v>
      </c>
      <c r="C12" s="361" t="s">
        <v>178</v>
      </c>
      <c r="D12" s="80">
        <v>1000</v>
      </c>
    </row>
    <row r="13" spans="1:4" ht="49.5" customHeight="1" x14ac:dyDescent="0.55000000000000004">
      <c r="A13" s="81"/>
      <c r="B13" s="82"/>
      <c r="C13" s="82"/>
      <c r="D13" s="91">
        <f>SUM(D5:D12)</f>
        <v>12500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49E6-316D-47DC-B2FC-0BC4D59A7BB4}">
  <sheetPr>
    <tabColor rgb="FFFFCCFF"/>
  </sheetPr>
  <dimension ref="A1:K30"/>
  <sheetViews>
    <sheetView zoomScaleNormal="100" workbookViewId="0">
      <selection activeCell="A2" sqref="A1:K31"/>
    </sheetView>
  </sheetViews>
  <sheetFormatPr defaultColWidth="7.125" defaultRowHeight="21" x14ac:dyDescent="0.2"/>
  <cols>
    <col min="1" max="1" width="8.875" style="156" bestFit="1" customWidth="1"/>
    <col min="2" max="2" width="15.375" style="147" customWidth="1"/>
    <col min="3" max="3" width="10.875" style="147" bestFit="1" customWidth="1"/>
    <col min="4" max="4" width="7.5" style="147" customWidth="1"/>
    <col min="5" max="5" width="7.25" style="147" customWidth="1"/>
    <col min="6" max="7" width="6.625" style="147" customWidth="1"/>
    <col min="8" max="8" width="3.5" style="147" customWidth="1"/>
    <col min="9" max="9" width="7.125" style="147"/>
    <col min="10" max="10" width="9.25" style="147" customWidth="1"/>
    <col min="11" max="11" width="6.5" style="147" customWidth="1"/>
    <col min="12" max="16384" width="7.125" style="147"/>
  </cols>
  <sheetData>
    <row r="1" spans="1:11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1" ht="23.25" x14ac:dyDescent="0.2">
      <c r="A2" s="376" t="str">
        <f>+รายการหัก!I1</f>
        <v>รอบวันที่ 1-15 พฤษภาคม 2569</v>
      </c>
      <c r="B2" s="376"/>
      <c r="C2" s="67"/>
      <c r="D2" s="60" t="s">
        <v>41</v>
      </c>
      <c r="E2" s="69" t="s">
        <v>90</v>
      </c>
      <c r="F2" s="53"/>
      <c r="G2" s="53"/>
      <c r="H2" s="13"/>
      <c r="I2" s="67" t="str">
        <f>VLOOKUP(E2,Table22[],2,0)</f>
        <v>นายชูวิทย์ เกิดพร้อม</v>
      </c>
      <c r="J2" s="67"/>
    </row>
    <row r="3" spans="1:11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5.5" customHeight="1" x14ac:dyDescent="0.2">
      <c r="A5" s="109">
        <v>46147</v>
      </c>
      <c r="B5" s="148" t="s">
        <v>63</v>
      </c>
      <c r="C5" s="110" t="s">
        <v>229</v>
      </c>
      <c r="D5" s="149">
        <v>195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1700</v>
      </c>
      <c r="G5" s="150">
        <f t="shared" ref="G5:G7" si="0">IFERROR(IF(F5&gt;10,F5,F5*D5),"")</f>
        <v>1700</v>
      </c>
      <c r="H5" s="116"/>
      <c r="I5" s="111">
        <f t="shared" ref="I5:I15" si="1">IFERROR(SUM(G5+H5),"")</f>
        <v>1700</v>
      </c>
      <c r="J5" s="112">
        <f t="shared" ref="J5:J15" si="2">IFERROR(SUM(H5+I5),"")</f>
        <v>1700</v>
      </c>
      <c r="K5" s="108"/>
    </row>
    <row r="6" spans="1:11" ht="25.5" customHeight="1" x14ac:dyDescent="0.2">
      <c r="A6" s="109">
        <v>46148</v>
      </c>
      <c r="B6" s="148" t="s">
        <v>63</v>
      </c>
      <c r="C6" s="110" t="s">
        <v>228</v>
      </c>
      <c r="D6" s="149">
        <v>197</v>
      </c>
      <c r="E6" s="116" t="s">
        <v>15</v>
      </c>
      <c r="F6" s="355" cm="1">
        <f t="array" ref="F6">IFERROR(INDEX(ราคาขนส่ง!$D$3:$D$102,MATCH(1,IF(ราคาขนส่ง!$B$3:$B$102=$B6,IF(ราคาขนส่ง!$C$3:$C$102=$E6,1)),0)),"")</f>
        <v>1700</v>
      </c>
      <c r="G6" s="355">
        <f>IFERROR(IF(F6&gt;10,F6,F6*D6),"")</f>
        <v>1700</v>
      </c>
      <c r="H6" s="149"/>
      <c r="I6" s="111">
        <f>IFERROR(SUM(G6+H6),"")</f>
        <v>1700</v>
      </c>
      <c r="J6" s="112">
        <f>IFERROR(SUM(H6+I6),"")</f>
        <v>1700</v>
      </c>
      <c r="K6" s="358"/>
    </row>
    <row r="7" spans="1:11" ht="25.5" customHeight="1" x14ac:dyDescent="0.2">
      <c r="A7" s="109">
        <v>46149</v>
      </c>
      <c r="B7" s="148" t="s">
        <v>27</v>
      </c>
      <c r="C7" s="110" t="s">
        <v>230</v>
      </c>
      <c r="D7" s="149">
        <v>158</v>
      </c>
      <c r="E7" s="116" t="s">
        <v>15</v>
      </c>
      <c r="F7" s="150">
        <f t="array" ref="F7">IFERROR(INDEX(ราคาขนส่ง!$D$3:$D$102,MATCH(1,IF(ราคาขนส่ง!$B$3:$B$102=$B7,IF(ราคาขนส่ง!$C$3:$C$102=$E7,1)),0)),"")</f>
        <v>1650</v>
      </c>
      <c r="G7" s="150">
        <f t="shared" si="0"/>
        <v>1650</v>
      </c>
      <c r="H7" s="116"/>
      <c r="I7" s="111">
        <f t="shared" si="1"/>
        <v>1650</v>
      </c>
      <c r="J7" s="112">
        <f t="shared" si="2"/>
        <v>1650</v>
      </c>
      <c r="K7" s="108"/>
    </row>
    <row r="8" spans="1:11" ht="25.5" customHeight="1" x14ac:dyDescent="0.2">
      <c r="A8" s="109">
        <v>46150</v>
      </c>
      <c r="B8" s="148" t="s">
        <v>34</v>
      </c>
      <c r="C8" s="110" t="s">
        <v>231</v>
      </c>
      <c r="D8" s="149">
        <v>143</v>
      </c>
      <c r="E8" s="116" t="s">
        <v>15</v>
      </c>
      <c r="F8" s="150">
        <f t="array" ref="F8">IFERROR(INDEX(ราคาขนส่ง!$D$3:$D$102,MATCH(1,IF(ราคาขนส่ง!$B$3:$B$102=$B8,IF(ราคาขนส่ง!$C$3:$C$102=$E8,1)),0)),"")</f>
        <v>1650</v>
      </c>
      <c r="G8" s="150">
        <f t="shared" ref="G8" si="3">IFERROR(IF(F8&gt;10,F8,F8*D8),"")</f>
        <v>1650</v>
      </c>
      <c r="H8" s="116"/>
      <c r="I8" s="111">
        <f t="shared" ref="I8" si="4">IFERROR(SUM(G8+H8),"")</f>
        <v>1650</v>
      </c>
      <c r="J8" s="112">
        <f t="shared" ref="J8" si="5">IFERROR(SUM(H8+I8),"")</f>
        <v>1650</v>
      </c>
      <c r="K8" s="108"/>
    </row>
    <row r="9" spans="1:11" ht="25.5" customHeight="1" x14ac:dyDescent="0.2">
      <c r="A9" s="109">
        <v>46151</v>
      </c>
      <c r="B9" s="148" t="s">
        <v>26</v>
      </c>
      <c r="C9" s="110" t="s">
        <v>233</v>
      </c>
      <c r="D9" s="149">
        <v>113</v>
      </c>
      <c r="E9" s="116" t="s">
        <v>15</v>
      </c>
      <c r="F9" s="150">
        <f t="array" ref="F9">IFERROR(INDEX(ราคาขนส่ง!$D$3:$D$102,MATCH(1,IF(ราคาขนส่ง!$B$3:$B$102=$B9,IF(ราคาขนส่ง!$C$3:$C$102=$E9,1)),0)),"")</f>
        <v>1650</v>
      </c>
      <c r="G9" s="150">
        <f t="shared" ref="G9" si="6">IFERROR(IF(F9&gt;10,F9,F9*D9),"")</f>
        <v>1650</v>
      </c>
      <c r="H9" s="116"/>
      <c r="I9" s="111">
        <f t="shared" ref="I9" si="7">IFERROR(SUM(G9+H9),"")</f>
        <v>1650</v>
      </c>
      <c r="J9" s="112">
        <f t="shared" ref="J9" si="8">IFERROR(SUM(H9+I9),"")</f>
        <v>1650</v>
      </c>
      <c r="K9" s="108"/>
    </row>
    <row r="10" spans="1:11" ht="25.5" customHeight="1" x14ac:dyDescent="0.2">
      <c r="A10" s="109">
        <v>46153</v>
      </c>
      <c r="B10" s="148" t="s">
        <v>44</v>
      </c>
      <c r="C10" s="110" t="s">
        <v>234</v>
      </c>
      <c r="D10" s="149">
        <v>416</v>
      </c>
      <c r="E10" s="116" t="s">
        <v>14</v>
      </c>
      <c r="F10" s="150">
        <f t="array" ref="F10">IFERROR(INDEX(ราคาขนส่ง!$D$3:$D$102,MATCH(1,IF(ราคาขนส่ง!$B$3:$B$102=$B10,IF(ราคาขนส่ง!$C$3:$C$102=$E10,1)),0)),"")</f>
        <v>3</v>
      </c>
      <c r="G10" s="150">
        <f t="shared" ref="G10" si="9">IFERROR(IF(F10&gt;10,F10,F10*D10),"")</f>
        <v>1248</v>
      </c>
      <c r="H10" s="116"/>
      <c r="I10" s="111">
        <f t="shared" ref="I10" si="10">IFERROR(SUM(G10+H10),"")</f>
        <v>1248</v>
      </c>
      <c r="J10" s="112">
        <f t="shared" ref="J10" si="11">IFERROR(SUM(H10+I10),"")</f>
        <v>1248</v>
      </c>
      <c r="K10" s="108"/>
    </row>
    <row r="11" spans="1:11" ht="25.5" customHeight="1" x14ac:dyDescent="0.2">
      <c r="A11" s="109">
        <v>46154</v>
      </c>
      <c r="B11" s="148" t="s">
        <v>26</v>
      </c>
      <c r="C11" s="110" t="s">
        <v>235</v>
      </c>
      <c r="D11" s="149">
        <v>132</v>
      </c>
      <c r="E11" s="116" t="s">
        <v>15</v>
      </c>
      <c r="F11" s="355" cm="1">
        <f t="array" ref="F11">IFERROR(INDEX(ราคาขนส่ง!$D$3:$D$102,MATCH(1,IF(ราคาขนส่ง!$B$3:$B$102=$B11,IF(ราคาขนส่ง!$C$3:$C$102=$E11,1)),0)),"")</f>
        <v>1650</v>
      </c>
      <c r="G11" s="355">
        <f t="shared" ref="G11:G13" si="12">IFERROR(IF(F11&gt;10,F11,F11*D11),"")</f>
        <v>1650</v>
      </c>
      <c r="H11" s="149"/>
      <c r="I11" s="111">
        <f t="shared" ref="I11:J13" si="13">IFERROR(SUM(G11+H11),"")</f>
        <v>1650</v>
      </c>
      <c r="J11" s="112">
        <f t="shared" si="13"/>
        <v>1650</v>
      </c>
      <c r="K11" s="358"/>
    </row>
    <row r="12" spans="1:11" ht="25.5" customHeight="1" x14ac:dyDescent="0.2">
      <c r="A12" s="109">
        <v>46155</v>
      </c>
      <c r="B12" s="148" t="s">
        <v>60</v>
      </c>
      <c r="C12" s="110" t="s">
        <v>236</v>
      </c>
      <c r="D12" s="149">
        <v>158</v>
      </c>
      <c r="E12" s="357" t="s">
        <v>15</v>
      </c>
      <c r="F12" s="355" cm="1">
        <f t="array" ref="F12">IFERROR(INDEX(ราคาขนส่ง!$D$3:$D$102,MATCH(1,IF(ราคาขนส่ง!$B$3:$B$102=$B12,IF(ราคาขนส่ง!$C$3:$C$102=$E12,1)),0)),"")</f>
        <v>1300</v>
      </c>
      <c r="G12" s="355">
        <f t="shared" si="12"/>
        <v>1300</v>
      </c>
      <c r="H12" s="149"/>
      <c r="I12" s="111">
        <f t="shared" si="13"/>
        <v>1300</v>
      </c>
      <c r="J12" s="112">
        <f t="shared" si="13"/>
        <v>1300</v>
      </c>
      <c r="K12" s="358"/>
    </row>
    <row r="13" spans="1:11" ht="25.5" customHeight="1" x14ac:dyDescent="0.2">
      <c r="A13" s="109">
        <v>46156</v>
      </c>
      <c r="B13" s="148" t="s">
        <v>26</v>
      </c>
      <c r="C13" s="110" t="s">
        <v>238</v>
      </c>
      <c r="D13" s="149">
        <v>338</v>
      </c>
      <c r="E13" s="357" t="s">
        <v>14</v>
      </c>
      <c r="F13" s="355" cm="1">
        <f t="array" ref="F13">IFERROR(INDEX(ราคาขนส่ง!$D$3:$D$102,MATCH(1,IF(ราคาขนส่ง!$B$3:$B$102=$B13,IF(ราคาขนส่ง!$C$3:$C$102=$E13,1)),0)),"")</f>
        <v>6.5</v>
      </c>
      <c r="G13" s="355">
        <f t="shared" si="12"/>
        <v>2197</v>
      </c>
      <c r="H13" s="149"/>
      <c r="I13" s="111">
        <f t="shared" si="13"/>
        <v>2197</v>
      </c>
      <c r="J13" s="112">
        <f t="shared" si="13"/>
        <v>2197</v>
      </c>
      <c r="K13" s="358"/>
    </row>
    <row r="14" spans="1:11" ht="25.5" customHeight="1" x14ac:dyDescent="0.2">
      <c r="A14" s="109">
        <v>46157</v>
      </c>
      <c r="B14" s="148" t="s">
        <v>19</v>
      </c>
      <c r="C14" s="110" t="s">
        <v>240</v>
      </c>
      <c r="D14" s="149">
        <v>134</v>
      </c>
      <c r="E14" s="357" t="s">
        <v>15</v>
      </c>
      <c r="F14" s="355" cm="1">
        <f t="array" ref="F14">IFERROR(INDEX(ราคาขนส่ง!$D$3:$D$102,MATCH(1,IF(ราคาขนส่ง!$B$3:$B$102=$B14,IF(ราคาขนส่ง!$C$3:$C$102=$E14,1)),0)),"")</f>
        <v>1300</v>
      </c>
      <c r="G14" s="355">
        <f>IFERROR(IF(F14&gt;10,F14,F14*D14),"")</f>
        <v>1300</v>
      </c>
      <c r="H14" s="149"/>
      <c r="I14" s="111">
        <f>IFERROR(SUM(G14+H14),"")</f>
        <v>1300</v>
      </c>
      <c r="J14" s="112">
        <f>IFERROR(SUM(H14+I14),"")</f>
        <v>1300</v>
      </c>
      <c r="K14" s="358"/>
    </row>
    <row r="15" spans="1:11" ht="24" customHeight="1" x14ac:dyDescent="0.2">
      <c r="A15" s="109"/>
      <c r="B15" s="148"/>
      <c r="C15" s="110"/>
      <c r="D15" s="149"/>
      <c r="E15" s="116" t="s">
        <v>14</v>
      </c>
      <c r="F15" s="150" t="str">
        <f t="array" ref="F15">IFERROR(INDEX(ราคาขนส่ง!$D$3:$D$102,MATCH(1,IF(ราคาขนส่ง!$B$3:$B$102=$B15,IF(ราคาขนส่ง!$C$3:$C$102=$E15,1)),0)),"")</f>
        <v/>
      </c>
      <c r="G15" s="150" t="str">
        <f t="shared" ref="G15" si="14">IFERROR(IF(F15&gt;10,F15,F15*D15),"")</f>
        <v/>
      </c>
      <c r="H15" s="116"/>
      <c r="I15" s="111" t="str">
        <f t="shared" si="1"/>
        <v/>
      </c>
      <c r="J15" s="112" t="str">
        <f t="shared" si="2"/>
        <v/>
      </c>
      <c r="K15" s="108"/>
    </row>
    <row r="16" spans="1:11" ht="23.25" x14ac:dyDescent="0.2">
      <c r="A16" s="22"/>
      <c r="B16" s="24" t="s">
        <v>7</v>
      </c>
      <c r="C16" s="17"/>
      <c r="D16" s="24">
        <f>SUM(D5:D15)</f>
        <v>1984</v>
      </c>
      <c r="E16" s="24"/>
      <c r="F16" s="25"/>
      <c r="G16" s="55"/>
      <c r="I16" s="64">
        <f>SUM(I5:I15)</f>
        <v>16045</v>
      </c>
      <c r="J16" s="65">
        <f>SUM(J5:J15)</f>
        <v>16045</v>
      </c>
      <c r="K16" s="56"/>
    </row>
    <row r="17" spans="1:11" ht="23.25" x14ac:dyDescent="0.2">
      <c r="A17" s="26" t="s">
        <v>8</v>
      </c>
      <c r="B17" s="11"/>
      <c r="C17" s="57"/>
      <c r="D17" s="10"/>
      <c r="E17" s="10"/>
      <c r="F17" s="11"/>
      <c r="G17" s="19"/>
      <c r="H17" s="20"/>
      <c r="I17" s="58"/>
      <c r="J17" s="58"/>
      <c r="K17" s="59"/>
    </row>
    <row r="18" spans="1:11" ht="23.25" x14ac:dyDescent="0.2">
      <c r="A18" s="12"/>
      <c r="B18" s="171" t="s">
        <v>9</v>
      </c>
      <c r="C18" s="172">
        <f>J16</f>
        <v>16045</v>
      </c>
      <c r="D18" s="171" t="s">
        <v>10</v>
      </c>
      <c r="E18" s="171"/>
      <c r="F18" s="27"/>
      <c r="G18" s="19"/>
      <c r="H18" s="20"/>
      <c r="I18" s="58"/>
      <c r="J18" s="58"/>
      <c r="K18" s="59"/>
    </row>
    <row r="19" spans="1:11" ht="23.25" x14ac:dyDescent="0.2">
      <c r="A19" s="12"/>
      <c r="B19" s="171" t="s">
        <v>11</v>
      </c>
      <c r="C19" s="173">
        <f>SUM(C18/100)</f>
        <v>160.44999999999999</v>
      </c>
      <c r="D19" s="171" t="s">
        <v>10</v>
      </c>
      <c r="E19" s="171"/>
      <c r="F19" s="27"/>
      <c r="G19" s="19"/>
      <c r="H19" s="20"/>
      <c r="I19" s="58"/>
      <c r="J19" s="58"/>
      <c r="K19" s="59"/>
    </row>
    <row r="20" spans="1:11" ht="23.25" x14ac:dyDescent="0.2">
      <c r="A20" s="12"/>
      <c r="B20" s="174" t="s">
        <v>74</v>
      </c>
      <c r="C20" s="175">
        <f>+Table45678910111213141517[[#Totals],[เป็นจำนวนเงิน(บาท)]]</f>
        <v>9000</v>
      </c>
      <c r="D20" s="174" t="s">
        <v>10</v>
      </c>
      <c r="E20" s="176"/>
      <c r="F20" s="28"/>
      <c r="G20" s="19"/>
      <c r="H20" s="20"/>
      <c r="I20" s="58"/>
      <c r="J20" s="58"/>
      <c r="K20" s="59"/>
    </row>
    <row r="21" spans="1:11" ht="23.25" x14ac:dyDescent="0.2">
      <c r="A21" s="12"/>
      <c r="B21" s="177" t="str">
        <f>+รายการหัก!C2</f>
        <v>ค่าอัพเดทบิล</v>
      </c>
      <c r="C21" s="178">
        <f>+รายการหัก!C13</f>
        <v>0</v>
      </c>
      <c r="D21" s="177" t="s">
        <v>10</v>
      </c>
      <c r="E21" s="176"/>
      <c r="F21" s="28"/>
      <c r="G21" s="19"/>
      <c r="H21" s="20"/>
      <c r="I21" s="58"/>
      <c r="J21" s="58"/>
      <c r="K21" s="59"/>
    </row>
    <row r="22" spans="1:11" ht="23.25" x14ac:dyDescent="0.2">
      <c r="A22" s="12"/>
      <c r="B22" s="179" t="str">
        <f>+รายการหัก!D2</f>
        <v>หักค่าโทรศัพท์</v>
      </c>
      <c r="C22" s="180">
        <f>+รายการหัก!D13</f>
        <v>0</v>
      </c>
      <c r="D22" s="179" t="s">
        <v>10</v>
      </c>
      <c r="E22" s="181"/>
      <c r="F22" s="11"/>
      <c r="G22" s="19"/>
      <c r="H22" s="20"/>
      <c r="I22" s="58"/>
      <c r="J22" s="58"/>
      <c r="K22" s="59"/>
    </row>
    <row r="23" spans="1:11" ht="23.25" x14ac:dyDescent="0.2">
      <c r="A23" s="12"/>
      <c r="B23" s="182" t="str">
        <f>+รายการหัก!E2</f>
        <v>หักค่าGPS</v>
      </c>
      <c r="C23" s="163">
        <f>+รายการหัก!E13</f>
        <v>0</v>
      </c>
      <c r="D23" s="182" t="s">
        <v>10</v>
      </c>
      <c r="E23" s="163">
        <f>+รายการหัก!F13</f>
        <v>0</v>
      </c>
      <c r="F23" s="11"/>
      <c r="G23" s="19"/>
      <c r="H23" s="20"/>
      <c r="I23" s="58"/>
      <c r="J23" s="58"/>
      <c r="K23" s="59"/>
    </row>
    <row r="24" spans="1:11" ht="23.25" x14ac:dyDescent="0.2">
      <c r="A24" s="12"/>
      <c r="B24" s="183" t="str">
        <f>+รายการหัก!G2</f>
        <v>หักค่ายืมเงิน</v>
      </c>
      <c r="C24" s="164">
        <f>+รายการหัก!G13</f>
        <v>0</v>
      </c>
      <c r="D24" s="183" t="s">
        <v>10</v>
      </c>
      <c r="E24" s="164">
        <f>+รายการหัก!H13</f>
        <v>0</v>
      </c>
      <c r="F24" s="11"/>
      <c r="G24" s="19"/>
      <c r="H24" s="20"/>
      <c r="I24" s="58"/>
      <c r="J24" s="58"/>
      <c r="K24" s="59"/>
    </row>
    <row r="25" spans="1:11" ht="23.25" x14ac:dyDescent="0.2">
      <c r="A25" s="12"/>
      <c r="B25" s="229" t="str">
        <f>+รายการหัก!I2</f>
        <v>หักค่าสัญญาณGPS รายปี</v>
      </c>
      <c r="C25" s="165">
        <f>+รายการหัก!I13</f>
        <v>0</v>
      </c>
      <c r="D25" s="185" t="s">
        <v>10</v>
      </c>
      <c r="E25" s="165">
        <f>+รายการหัก!J13</f>
        <v>0</v>
      </c>
      <c r="F25" s="29"/>
      <c r="G25" s="19"/>
      <c r="H25" s="20"/>
      <c r="I25" s="58"/>
      <c r="J25" s="58"/>
      <c r="K25" s="59"/>
    </row>
    <row r="26" spans="1:11" ht="23.25" x14ac:dyDescent="0.2">
      <c r="A26" s="12"/>
      <c r="B26" s="186" t="str">
        <f>+รายการหัก!K2</f>
        <v>หักค่าประกัน</v>
      </c>
      <c r="C26" s="166">
        <f>+รายการหัก!K13</f>
        <v>0</v>
      </c>
      <c r="D26" s="187" t="s">
        <v>10</v>
      </c>
      <c r="E26" s="166">
        <f>+รายการหัก!L13</f>
        <v>0</v>
      </c>
      <c r="F26" s="29"/>
      <c r="G26" s="19"/>
      <c r="H26" s="20"/>
      <c r="I26" s="58"/>
      <c r="J26" s="58"/>
      <c r="K26" s="59"/>
    </row>
    <row r="27" spans="1:11" ht="23.25" x14ac:dyDescent="0.2">
      <c r="A27" s="23"/>
      <c r="B27" s="188" t="s">
        <v>12</v>
      </c>
      <c r="C27" s="189">
        <f>SUM(C18-C19-C20+C21-C22-C23-C24-C25-C26)</f>
        <v>6884.5499999999993</v>
      </c>
      <c r="D27" s="188" t="s">
        <v>10</v>
      </c>
      <c r="E27" s="190"/>
      <c r="F27" s="30"/>
    </row>
    <row r="29" spans="1:11" ht="26.25" x14ac:dyDescent="0.2">
      <c r="B29" s="378"/>
      <c r="C29" s="378"/>
    </row>
    <row r="30" spans="1:11" ht="23.25" x14ac:dyDescent="0.2">
      <c r="B30" s="222" t="s">
        <v>137</v>
      </c>
    </row>
  </sheetData>
  <mergeCells count="4">
    <mergeCell ref="A1:K1"/>
    <mergeCell ref="A2:B2"/>
    <mergeCell ref="A3:B3"/>
    <mergeCell ref="B29:C29"/>
  </mergeCells>
  <phoneticPr fontId="63" type="noConversion"/>
  <dataValidations count="1">
    <dataValidation type="list" allowBlank="1" showInputMessage="1" showErrorMessage="1" sqref="E5:E15" xr:uid="{D1B4C8FB-391A-4FF1-804A-F0C1EDF7C399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A0CCE2-1F39-494C-A5D7-5362785C4ED0}">
          <x14:formula1>
            <xm:f>ราคาขนส่ง!$B$3:$B$52</xm:f>
          </x14:formula1>
          <xm:sqref>B5:B15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71C7-F682-4E2A-B0C0-F84DE14703E0}">
  <sheetPr>
    <tabColor rgb="FFFFCCFF"/>
  </sheetPr>
  <dimension ref="A1:D9"/>
  <sheetViews>
    <sheetView zoomScaleNormal="100" workbookViewId="0">
      <selection activeCell="H5" sqref="H5"/>
    </sheetView>
  </sheetViews>
  <sheetFormatPr defaultColWidth="7.125" defaultRowHeight="21" x14ac:dyDescent="0.45"/>
  <cols>
    <col min="1" max="1" width="9.3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+'ผฉ-6108ตู้'!E2</f>
        <v>ผฉ-6108 ตู้</v>
      </c>
      <c r="D2" s="90" t="str">
        <f>+'ผฉ-6108ตู้'!I2</f>
        <v>นายชูวิทย์ เกิดพร้อม</v>
      </c>
    </row>
    <row r="3" spans="1:4" ht="16.5" x14ac:dyDescent="0.35">
      <c r="A3" s="33"/>
    </row>
    <row r="4" spans="1:4" ht="26.25" x14ac:dyDescent="0.35">
      <c r="A4" s="74" t="s">
        <v>13</v>
      </c>
      <c r="B4" s="75" t="s">
        <v>98</v>
      </c>
      <c r="C4" s="75" t="s">
        <v>99</v>
      </c>
      <c r="D4" s="76" t="s">
        <v>100</v>
      </c>
    </row>
    <row r="5" spans="1:4" ht="48" customHeight="1" x14ac:dyDescent="0.55000000000000004">
      <c r="A5" s="77">
        <v>1</v>
      </c>
      <c r="B5" s="78">
        <v>46145</v>
      </c>
      <c r="C5" s="79" t="s">
        <v>151</v>
      </c>
      <c r="D5" s="80">
        <v>2500</v>
      </c>
    </row>
    <row r="6" spans="1:4" ht="48" customHeight="1" x14ac:dyDescent="0.55000000000000004">
      <c r="A6" s="359">
        <v>2</v>
      </c>
      <c r="B6" s="360">
        <v>46147</v>
      </c>
      <c r="C6" s="361" t="s">
        <v>152</v>
      </c>
      <c r="D6" s="80">
        <v>2500</v>
      </c>
    </row>
    <row r="7" spans="1:4" ht="48" customHeight="1" x14ac:dyDescent="0.55000000000000004">
      <c r="A7" s="359">
        <v>3</v>
      </c>
      <c r="B7" s="360">
        <v>46150</v>
      </c>
      <c r="C7" s="361" t="s">
        <v>153</v>
      </c>
      <c r="D7" s="80">
        <v>2000</v>
      </c>
    </row>
    <row r="8" spans="1:4" ht="48" customHeight="1" x14ac:dyDescent="0.55000000000000004">
      <c r="A8" s="359">
        <v>4</v>
      </c>
      <c r="B8" s="360">
        <v>46154</v>
      </c>
      <c r="C8" s="361" t="s">
        <v>154</v>
      </c>
      <c r="D8" s="80">
        <v>2000</v>
      </c>
    </row>
    <row r="9" spans="1:4" ht="45.75" customHeight="1" x14ac:dyDescent="0.55000000000000004">
      <c r="A9" s="81" t="s">
        <v>101</v>
      </c>
      <c r="B9" s="82"/>
      <c r="C9" s="82"/>
      <c r="D9" s="91">
        <f>SUBTOTAL(109,Table45678910111213141517[เป็นจำนวนเงิน(บาท)])</f>
        <v>9000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0EC3-72E3-4F44-B6EF-0AECE2FF263D}">
  <sheetPr>
    <tabColor rgb="FFFFCCFF"/>
  </sheetPr>
  <dimension ref="A1:P31"/>
  <sheetViews>
    <sheetView showWhiteSpace="0" topLeftCell="A4" zoomScaleNormal="100" workbookViewId="0">
      <selection activeCell="E8" sqref="E8"/>
    </sheetView>
  </sheetViews>
  <sheetFormatPr defaultColWidth="7.125" defaultRowHeight="21" x14ac:dyDescent="0.2"/>
  <cols>
    <col min="1" max="1" width="8.875" style="156" bestFit="1" customWidth="1"/>
    <col min="2" max="2" width="15.25" style="147" customWidth="1"/>
    <col min="3" max="3" width="10.875" style="147" bestFit="1" customWidth="1"/>
    <col min="4" max="4" width="7.625" style="147" customWidth="1"/>
    <col min="5" max="5" width="6" style="147" customWidth="1"/>
    <col min="6" max="7" width="6.625" style="147" customWidth="1"/>
    <col min="8" max="8" width="3.5" style="147" customWidth="1"/>
    <col min="9" max="9" width="7.125" style="147"/>
    <col min="10" max="10" width="9.625" style="147" customWidth="1"/>
    <col min="11" max="11" width="7.125" style="147" customWidth="1"/>
    <col min="12" max="16384" width="7.125" style="147"/>
  </cols>
  <sheetData>
    <row r="1" spans="1:16" ht="26.25" x14ac:dyDescent="0.2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</row>
    <row r="2" spans="1:16" ht="23.25" x14ac:dyDescent="0.2">
      <c r="A2" s="376" t="str">
        <f>+รายการหัก!I1</f>
        <v>รอบวันที่ 1-15 พฤษภาคม 2569</v>
      </c>
      <c r="B2" s="376"/>
      <c r="C2" s="67"/>
      <c r="D2" s="60" t="s">
        <v>41</v>
      </c>
      <c r="E2" s="21" t="s">
        <v>91</v>
      </c>
      <c r="F2" s="53"/>
      <c r="G2" s="53"/>
      <c r="H2" s="13"/>
      <c r="I2" s="67" t="str">
        <f>VLOOKUP(E2,Table22[],2,0)</f>
        <v>นายพีรธัช นิลสนธิ</v>
      </c>
      <c r="J2" s="67"/>
    </row>
    <row r="3" spans="1:16" ht="18" x14ac:dyDescent="0.2">
      <c r="A3" s="377" t="str">
        <f>+รายการหัก!B1</f>
        <v>เงินออกรอบ 5</v>
      </c>
      <c r="B3" s="377"/>
      <c r="C3" s="14"/>
      <c r="D3" s="15"/>
      <c r="E3" s="15"/>
      <c r="F3" s="15"/>
      <c r="G3" s="15"/>
      <c r="H3" s="13"/>
      <c r="I3" s="54"/>
      <c r="J3" s="54"/>
      <c r="K3" s="16"/>
    </row>
    <row r="4" spans="1:16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6" ht="24.75" customHeight="1" x14ac:dyDescent="0.2">
      <c r="A5" s="109">
        <v>46143</v>
      </c>
      <c r="B5" s="148" t="s">
        <v>67</v>
      </c>
      <c r="C5" s="110" t="s">
        <v>279</v>
      </c>
      <c r="D5" s="149">
        <v>161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2000</v>
      </c>
      <c r="G5" s="150">
        <f t="shared" ref="G5" si="0">IFERROR(IF(F5&gt;10,F5,F5*D5),"")</f>
        <v>2000</v>
      </c>
      <c r="H5" s="116"/>
      <c r="I5" s="111">
        <f t="shared" ref="I5:I18" si="1">IFERROR(SUM(G5+H5),"")</f>
        <v>2000</v>
      </c>
      <c r="J5" s="112">
        <f t="shared" ref="J5:J18" si="2">IFERROR(SUM(H5+I5),"")</f>
        <v>2000</v>
      </c>
      <c r="K5" s="108"/>
    </row>
    <row r="6" spans="1:16" ht="24.75" customHeight="1" x14ac:dyDescent="0.2">
      <c r="A6" s="109">
        <v>46144</v>
      </c>
      <c r="B6" s="148" t="s">
        <v>66</v>
      </c>
      <c r="C6" s="110" t="s">
        <v>260</v>
      </c>
      <c r="D6" s="149">
        <v>340</v>
      </c>
      <c r="E6" s="116" t="s">
        <v>14</v>
      </c>
      <c r="F6" s="355" cm="1">
        <f t="array" ref="F6">IFERROR(INDEX(ราคาขนส่ง!$D$3:$D$102,MATCH(1,IF(ราคาขนส่ง!$B$3:$B$102=$B6,IF(ราคาขนส่ง!$C$3:$C$102=$E6,1)),0)),"")</f>
        <v>7.8</v>
      </c>
      <c r="G6" s="355">
        <f>IFERROR(IF(F6&gt;10,F6,F6*D6),"")</f>
        <v>2652</v>
      </c>
      <c r="H6" s="149"/>
      <c r="I6" s="111">
        <f t="shared" ref="I6:J8" si="3">IFERROR(SUM(G6+H6),"")</f>
        <v>2652</v>
      </c>
      <c r="J6" s="112">
        <f t="shared" si="3"/>
        <v>2652</v>
      </c>
      <c r="K6" s="358"/>
    </row>
    <row r="7" spans="1:16" ht="24.75" customHeight="1" x14ac:dyDescent="0.2">
      <c r="A7" s="243">
        <v>46145</v>
      </c>
      <c r="B7" s="235" t="s">
        <v>27</v>
      </c>
      <c r="C7" s="110" t="s">
        <v>280</v>
      </c>
      <c r="D7" s="149">
        <v>131</v>
      </c>
      <c r="E7" s="365" t="s">
        <v>15</v>
      </c>
      <c r="F7" s="364" cm="1">
        <f t="array" ref="F7">IFERROR(INDEX(ราคาขนส่ง!$D$3:$D$102,MATCH(1,IF(ราคาขนส่ง!$B$3:$B$102=$B7,IF(ราคาขนส่ง!$C$3:$C$102=$E7,1)),0)),"")</f>
        <v>1650</v>
      </c>
      <c r="G7" s="364">
        <f>IFERROR(IF(F7&gt;10,F7,F7*D7),"")</f>
        <v>1650</v>
      </c>
      <c r="H7" s="236"/>
      <c r="I7" s="239">
        <f t="shared" si="3"/>
        <v>1650</v>
      </c>
      <c r="J7" s="240">
        <f t="shared" si="3"/>
        <v>1650</v>
      </c>
      <c r="K7" s="358"/>
    </row>
    <row r="8" spans="1:16" ht="24.75" customHeight="1" x14ac:dyDescent="0.2">
      <c r="A8" s="109">
        <v>46146</v>
      </c>
      <c r="B8" s="148" t="s">
        <v>34</v>
      </c>
      <c r="C8" s="110" t="s">
        <v>262</v>
      </c>
      <c r="D8" s="149">
        <v>195</v>
      </c>
      <c r="E8" s="116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1650</v>
      </c>
      <c r="G8" s="223">
        <f>IFERROR(IF(F8&gt;10,F8,F8*D8),"")</f>
        <v>1650</v>
      </c>
      <c r="H8" s="149"/>
      <c r="I8" s="111">
        <f t="shared" si="3"/>
        <v>1650</v>
      </c>
      <c r="J8" s="112">
        <f t="shared" si="3"/>
        <v>1650</v>
      </c>
      <c r="K8" s="108"/>
    </row>
    <row r="9" spans="1:16" ht="24.75" customHeight="1" x14ac:dyDescent="0.2">
      <c r="A9" s="109">
        <v>46147</v>
      </c>
      <c r="B9" s="148" t="s">
        <v>66</v>
      </c>
      <c r="C9" s="110" t="s">
        <v>248</v>
      </c>
      <c r="D9" s="356">
        <v>435</v>
      </c>
      <c r="E9" s="116" t="s">
        <v>14</v>
      </c>
      <c r="F9" s="150">
        <f t="array" ref="F9">IFERROR(INDEX(ราคาขนส่ง!$D$3:$D$102,MATCH(1,IF(ราคาขนส่ง!$B$3:$B$102=$B9,IF(ราคาขนส่ง!$C$3:$C$102=$E9,1)),0)),"")</f>
        <v>7.8</v>
      </c>
      <c r="G9" s="150">
        <f t="shared" ref="G9:G12" si="4">IFERROR(IF(F9&gt;10,F9,F9*D9),"")</f>
        <v>3393</v>
      </c>
      <c r="H9" s="116"/>
      <c r="I9" s="111">
        <f t="shared" ref="I9:I12" si="5">IFERROR(SUM(G9+H9),"")</f>
        <v>3393</v>
      </c>
      <c r="J9" s="112">
        <f t="shared" ref="J9:J12" si="6">IFERROR(SUM(H9+I9),"")</f>
        <v>3393</v>
      </c>
      <c r="K9" s="108"/>
      <c r="L9" s="339"/>
    </row>
    <row r="10" spans="1:16" ht="24.75" customHeight="1" x14ac:dyDescent="0.2">
      <c r="A10" s="109">
        <v>46148</v>
      </c>
      <c r="B10" s="148" t="s">
        <v>60</v>
      </c>
      <c r="C10" s="110" t="s">
        <v>267</v>
      </c>
      <c r="D10" s="356">
        <v>339</v>
      </c>
      <c r="E10" s="116" t="s">
        <v>14</v>
      </c>
      <c r="F10" s="355" cm="1">
        <f t="array" ref="F10">IFERROR(INDEX(ราคาขนส่ง!$D$3:$D$102,MATCH(1,IF(ราคาขนส่ง!$B$3:$B$102=$B10,IF(ราคาขนส่ง!$C$3:$C$102=$E10,1)),0)),"")</f>
        <v>5.6</v>
      </c>
      <c r="G10" s="355">
        <f>IFERROR(IF(F10&gt;10,F10,F10*D10),"")</f>
        <v>1898.3999999999999</v>
      </c>
      <c r="H10" s="149"/>
      <c r="I10" s="111">
        <f>IFERROR(SUM(G10+H10),"")</f>
        <v>1898.3999999999999</v>
      </c>
      <c r="J10" s="112">
        <f>IFERROR(SUM(H10+I10),"")</f>
        <v>1898.3999999999999</v>
      </c>
      <c r="K10" s="358"/>
      <c r="L10" s="339"/>
      <c r="P10" s="147" t="s">
        <v>150</v>
      </c>
    </row>
    <row r="11" spans="1:16" ht="24.75" customHeight="1" x14ac:dyDescent="0.2">
      <c r="A11" s="109">
        <v>46148</v>
      </c>
      <c r="B11" s="148" t="s">
        <v>34</v>
      </c>
      <c r="C11" s="110" t="s">
        <v>281</v>
      </c>
      <c r="D11" s="356">
        <v>160</v>
      </c>
      <c r="E11" s="116" t="s">
        <v>15</v>
      </c>
      <c r="F11" s="150">
        <f t="array" ref="F11">IFERROR(INDEX(ราคาขนส่ง!$D$3:$D$102,MATCH(1,IF(ราคาขนส่ง!$B$3:$B$102=$B11,IF(ราคาขนส่ง!$C$3:$C$102=$E11,1)),0)),"")</f>
        <v>1650</v>
      </c>
      <c r="G11" s="150">
        <f t="shared" si="4"/>
        <v>1650</v>
      </c>
      <c r="H11" s="116"/>
      <c r="I11" s="111">
        <f t="shared" si="5"/>
        <v>1650</v>
      </c>
      <c r="J11" s="112">
        <f t="shared" si="6"/>
        <v>1650</v>
      </c>
      <c r="K11" s="358"/>
    </row>
    <row r="12" spans="1:16" ht="24.75" customHeight="1" x14ac:dyDescent="0.2">
      <c r="A12" s="109">
        <v>46149</v>
      </c>
      <c r="B12" s="235" t="s">
        <v>27</v>
      </c>
      <c r="C12" s="110" t="s">
        <v>282</v>
      </c>
      <c r="D12" s="356">
        <v>152</v>
      </c>
      <c r="E12" s="116" t="s">
        <v>15</v>
      </c>
      <c r="F12" s="223" cm="1">
        <f t="array" ref="F12">IFERROR(INDEX(ราคาขนส่ง!$D$3:$D$102,MATCH(1,IF(ราคาขนส่ง!$B$3:$B$102=$B12,IF(ราคาขนส่ง!$C$3:$C$102=$E12,1)),0)),"")</f>
        <v>1650</v>
      </c>
      <c r="G12" s="223">
        <f t="shared" si="4"/>
        <v>1650</v>
      </c>
      <c r="H12" s="149"/>
      <c r="I12" s="111">
        <f t="shared" si="5"/>
        <v>1650</v>
      </c>
      <c r="J12" s="112">
        <f t="shared" si="6"/>
        <v>1650</v>
      </c>
      <c r="K12" s="108"/>
    </row>
    <row r="13" spans="1:16" ht="24.75" customHeight="1" x14ac:dyDescent="0.2">
      <c r="A13" s="109">
        <v>46150</v>
      </c>
      <c r="B13" s="148" t="s">
        <v>26</v>
      </c>
      <c r="C13" s="110" t="s">
        <v>252</v>
      </c>
      <c r="D13" s="356">
        <v>177</v>
      </c>
      <c r="E13" s="116" t="s">
        <v>15</v>
      </c>
      <c r="F13" s="150">
        <f t="array" ref="F13">IFERROR(INDEX(ราคาขนส่ง!$D$3:$D$102,MATCH(1,IF(ราคาขนส่ง!$B$3:$B$102=$B13,IF(ราคาขนส่ง!$C$3:$C$102=$E13,1)),0)),"")</f>
        <v>1650</v>
      </c>
      <c r="G13" s="150">
        <f t="shared" ref="G13:G18" si="7">IFERROR(IF(F13&gt;10,F13,F13*D13),"")</f>
        <v>1650</v>
      </c>
      <c r="H13" s="116"/>
      <c r="I13" s="111">
        <f t="shared" si="1"/>
        <v>1650</v>
      </c>
      <c r="J13" s="112">
        <f t="shared" si="2"/>
        <v>1650</v>
      </c>
      <c r="K13" s="108"/>
    </row>
    <row r="14" spans="1:16" ht="24.75" customHeight="1" x14ac:dyDescent="0.2">
      <c r="A14" s="109">
        <v>46151</v>
      </c>
      <c r="B14" s="148" t="s">
        <v>26</v>
      </c>
      <c r="C14" s="110" t="s">
        <v>270</v>
      </c>
      <c r="D14" s="356">
        <v>149</v>
      </c>
      <c r="E14" s="116" t="s">
        <v>15</v>
      </c>
      <c r="F14" s="355" cm="1">
        <f t="array" ref="F14">IFERROR(INDEX(ราคาขนส่ง!$D$3:$D$102,MATCH(1,IF(ราคาขนส่ง!$B$3:$B$102=$B14,IF(ราคาขนส่ง!$C$3:$C$102=$E14,1)),0)),"")</f>
        <v>1650</v>
      </c>
      <c r="G14" s="355">
        <f>IFERROR(IF(F14&gt;10,F14,F14*D14),"")</f>
        <v>1650</v>
      </c>
      <c r="H14" s="149"/>
      <c r="I14" s="111">
        <f t="shared" ref="I14:J14" si="8">IFERROR(SUM(G14+H14),"")</f>
        <v>1650</v>
      </c>
      <c r="J14" s="112">
        <f t="shared" si="8"/>
        <v>1650</v>
      </c>
      <c r="K14" s="358"/>
    </row>
    <row r="15" spans="1:16" ht="24.75" customHeight="1" x14ac:dyDescent="0.2">
      <c r="A15" s="109">
        <v>46154</v>
      </c>
      <c r="B15" s="148" t="s">
        <v>26</v>
      </c>
      <c r="C15" s="110" t="s">
        <v>283</v>
      </c>
      <c r="D15" s="356">
        <v>139</v>
      </c>
      <c r="E15" s="116" t="s">
        <v>15</v>
      </c>
      <c r="F15" s="355" cm="1">
        <f t="array" ref="F15">IFERROR(INDEX(ราคาขนส่ง!$D$3:$D$102,MATCH(1,IF(ราคาขนส่ง!$B$3:$B$102=$B15,IF(ราคาขนส่ง!$C$3:$C$102=$E15,1)),0)),"")</f>
        <v>1650</v>
      </c>
      <c r="G15" s="355">
        <f>IFERROR(IF(F15&gt;10,F15,F15*D15),"")</f>
        <v>1650</v>
      </c>
      <c r="H15" s="149"/>
      <c r="I15" s="111">
        <f t="shared" ref="I15:J17" si="9">IFERROR(SUM(G15+H15),"")</f>
        <v>1650</v>
      </c>
      <c r="J15" s="112">
        <f t="shared" si="9"/>
        <v>1650</v>
      </c>
      <c r="K15" s="358"/>
    </row>
    <row r="16" spans="1:16" ht="24.75" customHeight="1" x14ac:dyDescent="0.2">
      <c r="A16" s="109">
        <v>46155</v>
      </c>
      <c r="B16" s="148" t="s">
        <v>60</v>
      </c>
      <c r="C16" s="110" t="s">
        <v>237</v>
      </c>
      <c r="D16" s="356">
        <v>355</v>
      </c>
      <c r="E16" s="116" t="s">
        <v>14</v>
      </c>
      <c r="F16" s="355" cm="1">
        <f t="array" ref="F16">IFERROR(INDEX(ราคาขนส่ง!$D$3:$D$102,MATCH(1,IF(ราคาขนส่ง!$B$3:$B$102=$B16,IF(ราคาขนส่ง!$C$3:$C$102=$E16,1)),0)),"")</f>
        <v>5.6</v>
      </c>
      <c r="G16" s="355">
        <f>IFERROR(IF(F16&gt;10,F16,F16*D16),"")</f>
        <v>1987.9999999999998</v>
      </c>
      <c r="H16" s="149"/>
      <c r="I16" s="111">
        <f t="shared" si="9"/>
        <v>1987.9999999999998</v>
      </c>
      <c r="J16" s="112">
        <f t="shared" si="9"/>
        <v>1987.9999999999998</v>
      </c>
      <c r="K16" s="358" t="s">
        <v>148</v>
      </c>
    </row>
    <row r="17" spans="1:11" ht="24.75" customHeight="1" x14ac:dyDescent="0.2">
      <c r="A17" s="109">
        <v>46156</v>
      </c>
      <c r="B17" s="148" t="s">
        <v>26</v>
      </c>
      <c r="C17" s="110" t="s">
        <v>239</v>
      </c>
      <c r="D17" s="356">
        <v>338</v>
      </c>
      <c r="E17" s="116" t="s">
        <v>14</v>
      </c>
      <c r="F17" s="355" cm="1">
        <f t="array" ref="F17">IFERROR(INDEX(ราคาขนส่ง!$D$3:$D$102,MATCH(1,IF(ราคาขนส่ง!$B$3:$B$102=$B17,IF(ราคาขนส่ง!$C$3:$C$102=$E17,1)),0)),"")</f>
        <v>6.5</v>
      </c>
      <c r="G17" s="355">
        <f>IFERROR(IF(F17&gt;10,F17,F17*D17),"")</f>
        <v>2197</v>
      </c>
      <c r="H17" s="149"/>
      <c r="I17" s="111">
        <f t="shared" si="9"/>
        <v>2197</v>
      </c>
      <c r="J17" s="112">
        <f t="shared" si="9"/>
        <v>2197</v>
      </c>
      <c r="K17" s="358"/>
    </row>
    <row r="18" spans="1:11" ht="27" customHeight="1" x14ac:dyDescent="0.2">
      <c r="A18" s="109"/>
      <c r="B18" s="148"/>
      <c r="C18" s="110"/>
      <c r="D18" s="149"/>
      <c r="E18" s="116" t="s">
        <v>14</v>
      </c>
      <c r="F18" s="150" t="str">
        <f t="array" ref="F18">IFERROR(INDEX(ราคาขนส่ง!$D$3:$D$102,MATCH(1,IF(ราคาขนส่ง!$B$3:$B$102=$B18,IF(ราคาขนส่ง!$C$3:$C$102=$E18,1)),0)),"")</f>
        <v/>
      </c>
      <c r="G18" s="150" t="str">
        <f t="shared" si="7"/>
        <v/>
      </c>
      <c r="H18" s="116"/>
      <c r="I18" s="111" t="str">
        <f t="shared" si="1"/>
        <v/>
      </c>
      <c r="J18" s="112" t="str">
        <f t="shared" si="2"/>
        <v/>
      </c>
      <c r="K18" s="108"/>
    </row>
    <row r="19" spans="1:11" ht="23.25" x14ac:dyDescent="0.2">
      <c r="A19" s="22"/>
      <c r="B19" s="24" t="s">
        <v>7</v>
      </c>
      <c r="C19" s="17"/>
      <c r="D19" s="24">
        <f>SUM(D5:D18)</f>
        <v>3071</v>
      </c>
      <c r="E19" s="24"/>
      <c r="F19" s="25"/>
      <c r="G19" s="55"/>
      <c r="I19" s="64">
        <f>SUM(I5:I18)</f>
        <v>25678.400000000001</v>
      </c>
      <c r="J19" s="65">
        <f>SUM(J5:J18)</f>
        <v>25678.400000000001</v>
      </c>
      <c r="K19" s="56"/>
    </row>
    <row r="20" spans="1:11" ht="23.25" x14ac:dyDescent="0.2">
      <c r="A20" s="26" t="s">
        <v>8</v>
      </c>
      <c r="B20" s="11"/>
      <c r="C20" s="57"/>
      <c r="D20" s="10"/>
      <c r="E20" s="10"/>
      <c r="F20" s="11"/>
      <c r="G20" s="19"/>
      <c r="H20" s="20"/>
      <c r="I20" s="58"/>
      <c r="J20" s="58"/>
      <c r="K20" s="59"/>
    </row>
    <row r="21" spans="1:11" ht="19.5" customHeight="1" x14ac:dyDescent="0.2">
      <c r="A21" s="12"/>
      <c r="B21" s="171" t="s">
        <v>9</v>
      </c>
      <c r="C21" s="172">
        <f>J19</f>
        <v>25678.400000000001</v>
      </c>
      <c r="D21" s="171" t="s">
        <v>10</v>
      </c>
      <c r="E21" s="171"/>
      <c r="F21" s="27"/>
      <c r="G21" s="19"/>
      <c r="H21" s="20"/>
      <c r="I21" s="58"/>
      <c r="J21" s="58"/>
      <c r="K21" s="59"/>
    </row>
    <row r="22" spans="1:11" ht="19.5" customHeight="1" x14ac:dyDescent="0.2">
      <c r="A22" s="12"/>
      <c r="B22" s="171" t="s">
        <v>11</v>
      </c>
      <c r="C22" s="173">
        <f>SUM(C21/100)</f>
        <v>256.78399999999999</v>
      </c>
      <c r="D22" s="171" t="s">
        <v>10</v>
      </c>
      <c r="E22" s="171"/>
      <c r="F22" s="27"/>
      <c r="G22" s="19"/>
      <c r="H22" s="20"/>
      <c r="I22" s="58"/>
      <c r="J22" s="58"/>
      <c r="K22" s="59"/>
    </row>
    <row r="23" spans="1:11" ht="19.5" customHeight="1" x14ac:dyDescent="0.2">
      <c r="A23" s="12"/>
      <c r="B23" s="174" t="s">
        <v>74</v>
      </c>
      <c r="C23" s="175">
        <f>+Table4567891011121314151718[[#Totals],[เป็นจำนวนเงิน(บาท)]]</f>
        <v>12000</v>
      </c>
      <c r="D23" s="174" t="s">
        <v>10</v>
      </c>
      <c r="E23" s="176"/>
      <c r="F23" s="28"/>
      <c r="G23" s="19"/>
      <c r="H23" s="20"/>
      <c r="I23" s="58"/>
      <c r="J23" s="58"/>
      <c r="K23" s="59"/>
    </row>
    <row r="24" spans="1:11" ht="19.5" customHeight="1" x14ac:dyDescent="0.2">
      <c r="A24" s="12"/>
      <c r="B24" s="177" t="str">
        <f>+รายการหัก!C2</f>
        <v>ค่าอัพเดทบิล</v>
      </c>
      <c r="C24" s="178">
        <f>+รายการหัก!C14</f>
        <v>0</v>
      </c>
      <c r="D24" s="177" t="s">
        <v>10</v>
      </c>
      <c r="E24" s="176"/>
      <c r="F24" s="28"/>
      <c r="G24" s="19"/>
      <c r="H24" s="20"/>
      <c r="I24" s="58"/>
      <c r="J24" s="58"/>
      <c r="K24" s="59"/>
    </row>
    <row r="25" spans="1:11" ht="19.5" customHeight="1" x14ac:dyDescent="0.2">
      <c r="A25" s="12"/>
      <c r="B25" s="179" t="str">
        <f>+รายการหัก!D2</f>
        <v>หักค่าโทรศัพท์</v>
      </c>
      <c r="C25" s="180">
        <f>+รายการหัก!D14</f>
        <v>0</v>
      </c>
      <c r="D25" s="179" t="s">
        <v>10</v>
      </c>
      <c r="E25" s="181"/>
      <c r="F25" s="11"/>
      <c r="G25" s="19"/>
      <c r="H25" s="20"/>
      <c r="I25" s="58"/>
      <c r="J25" s="58"/>
      <c r="K25" s="59"/>
    </row>
    <row r="26" spans="1:11" ht="19.5" customHeight="1" x14ac:dyDescent="0.2">
      <c r="A26" s="12"/>
      <c r="B26" s="182" t="str">
        <f>+รายการหัก!E2</f>
        <v>หักค่าGPS</v>
      </c>
      <c r="C26" s="163">
        <f>+รายการหัก!E14</f>
        <v>0</v>
      </c>
      <c r="D26" s="182" t="s">
        <v>10</v>
      </c>
      <c r="E26" s="163">
        <f>+รายการหัก!F14</f>
        <v>0</v>
      </c>
      <c r="F26" s="11"/>
      <c r="G26" s="19"/>
      <c r="H26" s="20"/>
      <c r="I26" s="58"/>
      <c r="J26" s="58"/>
      <c r="K26" s="59"/>
    </row>
    <row r="27" spans="1:11" ht="19.5" customHeight="1" x14ac:dyDescent="0.2">
      <c r="A27" s="12"/>
      <c r="B27" s="183" t="str">
        <f>+รายการหัก!G2</f>
        <v>หักค่ายืมเงิน</v>
      </c>
      <c r="C27" s="164">
        <f>+รายการหัก!G14</f>
        <v>0</v>
      </c>
      <c r="D27" s="183" t="s">
        <v>10</v>
      </c>
      <c r="E27" s="164">
        <f>+รายการหัก!H14</f>
        <v>0</v>
      </c>
      <c r="F27" s="11"/>
      <c r="G27" s="19"/>
      <c r="H27" s="20"/>
      <c r="I27" s="58"/>
      <c r="J27" s="58"/>
      <c r="K27" s="59"/>
    </row>
    <row r="28" spans="1:11" ht="19.5" customHeight="1" x14ac:dyDescent="0.2">
      <c r="A28" s="12"/>
      <c r="B28" s="184" t="str">
        <f>+รายการหัก!I2</f>
        <v>หักค่าสัญญาณGPS รายปี</v>
      </c>
      <c r="C28" s="165">
        <f>+รายการหัก!I14</f>
        <v>0</v>
      </c>
      <c r="D28" s="185" t="s">
        <v>10</v>
      </c>
      <c r="E28" s="165">
        <f>+รายการหัก!J14</f>
        <v>0</v>
      </c>
      <c r="F28" s="29"/>
      <c r="G28" s="19"/>
      <c r="H28" s="20"/>
      <c r="I28" s="58"/>
      <c r="J28" s="58"/>
      <c r="K28" s="59"/>
    </row>
    <row r="29" spans="1:11" ht="19.5" customHeight="1" x14ac:dyDescent="0.2">
      <c r="A29" s="12"/>
      <c r="B29" s="186" t="str">
        <f>+รายการหัก!K2</f>
        <v>หักค่าประกัน</v>
      </c>
      <c r="C29" s="166">
        <f>+รายการหัก!K14</f>
        <v>0</v>
      </c>
      <c r="D29" s="187" t="s">
        <v>10</v>
      </c>
      <c r="E29" s="166">
        <f>+รายการหัก!L14</f>
        <v>0</v>
      </c>
      <c r="F29" s="29"/>
      <c r="G29" s="19"/>
      <c r="H29" s="20"/>
      <c r="I29" s="58"/>
      <c r="J29" s="58"/>
      <c r="K29" s="59"/>
    </row>
    <row r="30" spans="1:11" ht="19.5" customHeight="1" x14ac:dyDescent="0.2">
      <c r="A30" s="23"/>
      <c r="B30" s="188" t="s">
        <v>12</v>
      </c>
      <c r="C30" s="189">
        <f>SUM(C21-C22-C23+C24-C25-C26-C27-C28-C29)</f>
        <v>13421.616000000002</v>
      </c>
      <c r="D30" s="188" t="s">
        <v>10</v>
      </c>
      <c r="E30" s="190"/>
      <c r="F30" s="30"/>
    </row>
    <row r="31" spans="1:11" ht="23.25" x14ac:dyDescent="0.2">
      <c r="B31" s="222" t="s">
        <v>137</v>
      </c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17" xr:uid="{21C31C7E-501E-4F34-BD16-26A25381DF6E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6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AAF80A-8E96-415C-B0A6-1F28C93A0FA0}">
          <x14:formula1>
            <xm:f>ราคาขนส่ง!$B$3:$B$52</xm:f>
          </x14:formula1>
          <xm:sqref>B5:B17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F8E6-5043-41FC-AB6E-C53824BF98FB}">
  <sheetPr>
    <tabColor rgb="FFFFCCFF"/>
  </sheetPr>
  <dimension ref="A1:J18"/>
  <sheetViews>
    <sheetView topLeftCell="A2" zoomScaleNormal="100" workbookViewId="0">
      <selection activeCell="A12" sqref="A12"/>
    </sheetView>
  </sheetViews>
  <sheetFormatPr defaultColWidth="7.125" defaultRowHeight="21" x14ac:dyDescent="0.45"/>
  <cols>
    <col min="1" max="1" width="9.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75" t="s">
        <v>0</v>
      </c>
      <c r="B1" s="375"/>
      <c r="C1" s="375"/>
      <c r="D1" s="375"/>
    </row>
    <row r="2" spans="1:4" ht="26.25" x14ac:dyDescent="0.35">
      <c r="A2" s="380" t="str">
        <f>+รายการหัก!I1</f>
        <v>รอบวันที่ 1-15 พฤษภาคม 2569</v>
      </c>
      <c r="B2" s="380"/>
      <c r="C2" s="73" t="str">
        <f>+'3ฒต-983ตู้'!E2</f>
        <v>3ฒต-983 ตู้</v>
      </c>
      <c r="D2" s="90" t="str">
        <f>+'3ฒต-983ตู้'!I2</f>
        <v>นายพีรธัช นิลสนธิ</v>
      </c>
    </row>
    <row r="3" spans="1:4" ht="16.5" x14ac:dyDescent="0.35">
      <c r="A3" s="33"/>
    </row>
    <row r="4" spans="1:4" ht="34.5" customHeight="1" x14ac:dyDescent="0.35">
      <c r="A4" s="74" t="s">
        <v>13</v>
      </c>
      <c r="B4" s="75" t="s">
        <v>98</v>
      </c>
      <c r="C4" s="75" t="s">
        <v>99</v>
      </c>
      <c r="D4" s="76" t="s">
        <v>100</v>
      </c>
    </row>
    <row r="5" spans="1:4" ht="42.75" customHeight="1" x14ac:dyDescent="0.55000000000000004">
      <c r="A5" s="77">
        <v>1</v>
      </c>
      <c r="B5" s="78">
        <v>46143</v>
      </c>
      <c r="C5" s="79" t="s">
        <v>156</v>
      </c>
      <c r="D5" s="80">
        <v>2000</v>
      </c>
    </row>
    <row r="6" spans="1:4" ht="42.75" customHeight="1" x14ac:dyDescent="0.55000000000000004">
      <c r="A6" s="359">
        <v>2</v>
      </c>
      <c r="B6" s="360">
        <v>46146</v>
      </c>
      <c r="C6" s="361" t="s">
        <v>157</v>
      </c>
      <c r="D6" s="80">
        <v>1500</v>
      </c>
    </row>
    <row r="7" spans="1:4" ht="42.75" customHeight="1" x14ac:dyDescent="0.55000000000000004">
      <c r="A7" s="359">
        <v>3</v>
      </c>
      <c r="B7" s="360">
        <v>46146</v>
      </c>
      <c r="C7" s="361" t="s">
        <v>158</v>
      </c>
      <c r="D7" s="80">
        <v>2000</v>
      </c>
    </row>
    <row r="8" spans="1:4" ht="42.75" customHeight="1" x14ac:dyDescent="0.55000000000000004">
      <c r="A8" s="359">
        <v>4</v>
      </c>
      <c r="B8" s="360">
        <v>46149</v>
      </c>
      <c r="C8" s="361" t="s">
        <v>159</v>
      </c>
      <c r="D8" s="80">
        <v>2000</v>
      </c>
    </row>
    <row r="9" spans="1:4" ht="42.75" customHeight="1" x14ac:dyDescent="0.55000000000000004">
      <c r="A9" s="359">
        <v>5</v>
      </c>
      <c r="B9" s="360">
        <v>46150</v>
      </c>
      <c r="C9" s="361" t="s">
        <v>160</v>
      </c>
      <c r="D9" s="80">
        <v>1500</v>
      </c>
    </row>
    <row r="10" spans="1:4" ht="42.75" customHeight="1" x14ac:dyDescent="0.55000000000000004">
      <c r="A10" s="359">
        <v>6</v>
      </c>
      <c r="B10" s="360">
        <v>46154</v>
      </c>
      <c r="C10" s="361" t="s">
        <v>161</v>
      </c>
      <c r="D10" s="80">
        <v>2000</v>
      </c>
    </row>
    <row r="11" spans="1:4" ht="42.75" customHeight="1" x14ac:dyDescent="0.55000000000000004">
      <c r="A11" s="359">
        <v>7</v>
      </c>
      <c r="B11" s="360">
        <v>46155</v>
      </c>
      <c r="C11" s="361" t="s">
        <v>162</v>
      </c>
      <c r="D11" s="80">
        <v>1000</v>
      </c>
    </row>
    <row r="12" spans="1:4" ht="38.25" customHeight="1" x14ac:dyDescent="0.55000000000000004">
      <c r="A12" s="81" t="s">
        <v>101</v>
      </c>
      <c r="B12" s="82"/>
      <c r="C12" s="82"/>
      <c r="D12" s="91">
        <f>SUBTOTAL(109,Table4567891011121314151718[เป็นจำนวนเงิน(บาท)])</f>
        <v>12000</v>
      </c>
    </row>
    <row r="18" spans="10:10" x14ac:dyDescent="0.45">
      <c r="J18" s="33" t="s">
        <v>143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E92B-EB5A-4795-9796-E7E24E931711}">
  <sheetPr>
    <tabColor rgb="FF003399"/>
  </sheetPr>
  <dimension ref="A1:L25"/>
  <sheetViews>
    <sheetView zoomScaleNormal="100" workbookViewId="0">
      <pane ySplit="2" topLeftCell="A12" activePane="bottomLeft" state="frozen"/>
      <selection pane="bottomLeft" activeCell="H8" sqref="H8"/>
    </sheetView>
  </sheetViews>
  <sheetFormatPr defaultRowHeight="14.25" x14ac:dyDescent="0.2"/>
  <cols>
    <col min="1" max="1" width="9.375" style="85" customWidth="1"/>
    <col min="2" max="2" width="14.25" style="85" bestFit="1" customWidth="1"/>
    <col min="3" max="3" width="11.25" style="85" customWidth="1"/>
    <col min="4" max="4" width="12.75" style="85" bestFit="1" customWidth="1"/>
    <col min="5" max="10" width="11.375" style="85" customWidth="1"/>
    <col min="11" max="12" width="10.25" style="85" customWidth="1"/>
    <col min="13" max="16384" width="9" style="85"/>
  </cols>
  <sheetData>
    <row r="1" spans="1:12" ht="29.25" customHeight="1" thickBot="1" x14ac:dyDescent="0.25">
      <c r="A1" s="209" t="s">
        <v>73</v>
      </c>
      <c r="B1" s="208" t="s">
        <v>133</v>
      </c>
      <c r="C1" s="230"/>
      <c r="D1" s="210"/>
      <c r="E1" s="210"/>
      <c r="F1" s="210"/>
      <c r="G1" s="210"/>
      <c r="H1" s="210"/>
      <c r="I1" s="210" t="s">
        <v>155</v>
      </c>
      <c r="J1" s="210"/>
      <c r="K1" s="83"/>
      <c r="L1" s="84"/>
    </row>
    <row r="2" spans="1:12" ht="15.75" thickTop="1" thickBot="1" x14ac:dyDescent="0.25">
      <c r="A2" s="86"/>
      <c r="B2" s="87"/>
      <c r="C2" s="231" t="s">
        <v>139</v>
      </c>
      <c r="D2" s="211" t="s">
        <v>42</v>
      </c>
      <c r="E2" s="214" t="s">
        <v>129</v>
      </c>
      <c r="F2" s="215"/>
      <c r="G2" s="214" t="s">
        <v>43</v>
      </c>
      <c r="H2" s="215"/>
      <c r="I2" s="220" t="s">
        <v>131</v>
      </c>
      <c r="J2" s="215"/>
      <c r="K2" s="86" t="s">
        <v>78</v>
      </c>
      <c r="L2" s="87"/>
    </row>
    <row r="3" spans="1:12" ht="18" customHeight="1" thickTop="1" thickBot="1" x14ac:dyDescent="0.25">
      <c r="A3" s="86" t="s">
        <v>75</v>
      </c>
      <c r="B3" s="87" t="s">
        <v>41</v>
      </c>
      <c r="C3" s="232" t="s">
        <v>73</v>
      </c>
      <c r="D3" s="212" t="s">
        <v>73</v>
      </c>
      <c r="E3" s="216" t="s">
        <v>73</v>
      </c>
      <c r="F3" s="217" t="s">
        <v>76</v>
      </c>
      <c r="G3" s="216" t="s">
        <v>73</v>
      </c>
      <c r="H3" s="217" t="s">
        <v>76</v>
      </c>
      <c r="I3" s="216" t="s">
        <v>73</v>
      </c>
      <c r="J3" s="217" t="s">
        <v>76</v>
      </c>
      <c r="K3" s="86" t="s">
        <v>73</v>
      </c>
      <c r="L3" s="87" t="s">
        <v>76</v>
      </c>
    </row>
    <row r="4" spans="1:12" ht="18" customHeight="1" thickTop="1" thickBot="1" x14ac:dyDescent="0.25">
      <c r="A4" s="86">
        <v>1</v>
      </c>
      <c r="B4" s="87" t="str">
        <f>+'ผท-3888'!E2</f>
        <v>ผท-3888</v>
      </c>
      <c r="C4" s="250"/>
      <c r="D4" s="251"/>
      <c r="E4" s="252"/>
      <c r="F4" s="253"/>
      <c r="G4" s="252"/>
      <c r="H4" s="253"/>
      <c r="I4" s="252"/>
      <c r="J4" s="257"/>
      <c r="K4" s="255"/>
      <c r="L4" s="256"/>
    </row>
    <row r="5" spans="1:12" ht="18" customHeight="1" thickTop="1" thickBot="1" x14ac:dyDescent="0.25">
      <c r="A5" s="86">
        <v>2</v>
      </c>
      <c r="B5" s="87" t="e">
        <f>+#REF!</f>
        <v>#REF!</v>
      </c>
      <c r="C5" s="250"/>
      <c r="D5" s="251"/>
      <c r="E5" s="252"/>
      <c r="F5" s="253"/>
      <c r="G5" s="252"/>
      <c r="H5" s="253"/>
      <c r="I5" s="252"/>
      <c r="J5" s="254"/>
      <c r="K5" s="255"/>
      <c r="L5" s="256"/>
    </row>
    <row r="6" spans="1:12" ht="18" customHeight="1" thickTop="1" thickBot="1" x14ac:dyDescent="0.25">
      <c r="A6" s="86">
        <v>3</v>
      </c>
      <c r="B6" s="87" t="str">
        <f>+'ผท-6937'!E2</f>
        <v>ผท-6937</v>
      </c>
      <c r="C6" s="250"/>
      <c r="D6" s="251"/>
      <c r="E6" s="252"/>
      <c r="F6" s="253"/>
      <c r="G6" s="252"/>
      <c r="H6" s="253"/>
      <c r="I6" s="252"/>
      <c r="J6" s="257"/>
      <c r="K6" s="255"/>
      <c r="L6" s="256"/>
    </row>
    <row r="7" spans="1:12" ht="18" customHeight="1" thickTop="1" thickBot="1" x14ac:dyDescent="0.25">
      <c r="A7" s="86">
        <v>4</v>
      </c>
      <c r="B7" s="87" t="e">
        <f>+#REF!</f>
        <v>#REF!</v>
      </c>
      <c r="C7" s="250"/>
      <c r="D7" s="251"/>
      <c r="E7" s="252"/>
      <c r="F7" s="253"/>
      <c r="G7" s="252"/>
      <c r="H7" s="253"/>
      <c r="I7" s="252"/>
      <c r="J7" s="257"/>
      <c r="K7" s="255"/>
      <c r="L7" s="256"/>
    </row>
    <row r="8" spans="1:12" ht="18" customHeight="1" thickTop="1" thickBot="1" x14ac:dyDescent="0.25">
      <c r="A8" s="86">
        <v>5</v>
      </c>
      <c r="B8" s="87" t="str">
        <f>+'ผจ-5663'!E2</f>
        <v>ผจ-5663</v>
      </c>
      <c r="C8" s="250"/>
      <c r="D8" s="251"/>
      <c r="E8" s="252"/>
      <c r="F8" s="253"/>
      <c r="G8" s="252"/>
      <c r="H8" s="253"/>
      <c r="I8" s="252"/>
      <c r="J8" s="257"/>
      <c r="K8" s="255"/>
      <c r="L8" s="256"/>
    </row>
    <row r="9" spans="1:12" ht="18" customHeight="1" thickTop="1" thickBot="1" x14ac:dyDescent="0.25">
      <c r="A9" s="86">
        <v>6</v>
      </c>
      <c r="B9" s="87" t="str">
        <f>+'ผฉ-302ตู้'!E2</f>
        <v>ผฉ-302 ตู้</v>
      </c>
      <c r="C9" s="250"/>
      <c r="D9" s="251"/>
      <c r="E9" s="252"/>
      <c r="F9" s="253"/>
      <c r="G9" s="252"/>
      <c r="H9" s="253"/>
      <c r="I9" s="252"/>
      <c r="J9" s="257"/>
      <c r="K9" s="255"/>
      <c r="L9" s="256"/>
    </row>
    <row r="10" spans="1:12" ht="18" customHeight="1" thickTop="1" thickBot="1" x14ac:dyDescent="0.25">
      <c r="A10" s="86">
        <v>7</v>
      </c>
      <c r="B10" s="87" t="str">
        <f>+'ผฉ-1941'!E2</f>
        <v>ผฉ-1941</v>
      </c>
      <c r="C10" s="250"/>
      <c r="D10" s="251"/>
      <c r="E10" s="252"/>
      <c r="F10" s="253"/>
      <c r="G10" s="252"/>
      <c r="H10" s="253"/>
      <c r="I10" s="252"/>
      <c r="J10" s="257"/>
      <c r="K10" s="255"/>
      <c r="L10" s="256"/>
    </row>
    <row r="11" spans="1:12" ht="18" customHeight="1" thickTop="1" thickBot="1" x14ac:dyDescent="0.25">
      <c r="A11" s="86">
        <v>8</v>
      </c>
      <c r="B11" s="87" t="str">
        <f>+'ผฉ-3572'!E2</f>
        <v>ผฉ-3572</v>
      </c>
      <c r="C11" s="250"/>
      <c r="D11" s="251"/>
      <c r="E11" s="252"/>
      <c r="F11" s="253"/>
      <c r="G11" s="252"/>
      <c r="H11" s="253"/>
      <c r="I11" s="252"/>
      <c r="J11" s="257"/>
      <c r="K11" s="255"/>
      <c r="L11" s="256"/>
    </row>
    <row r="12" spans="1:12" ht="18" customHeight="1" thickTop="1" thickBot="1" x14ac:dyDescent="0.25">
      <c r="A12" s="86">
        <v>9</v>
      </c>
      <c r="B12" s="87" t="str">
        <f>+'ผฉ-3101ตู้'!E2</f>
        <v>ผฉ-3101 ตู้</v>
      </c>
      <c r="C12" s="250"/>
      <c r="D12" s="251"/>
      <c r="E12" s="252"/>
      <c r="F12" s="253"/>
      <c r="G12" s="252"/>
      <c r="H12" s="253"/>
      <c r="I12" s="252"/>
      <c r="J12" s="257"/>
      <c r="K12" s="255"/>
      <c r="L12" s="256"/>
    </row>
    <row r="13" spans="1:12" ht="18" customHeight="1" thickTop="1" thickBot="1" x14ac:dyDescent="0.25">
      <c r="A13" s="86">
        <v>10</v>
      </c>
      <c r="B13" s="87" t="str">
        <f>+'ผฉ-6108ตู้'!E2</f>
        <v>ผฉ-6108 ตู้</v>
      </c>
      <c r="C13" s="250"/>
      <c r="D13" s="251"/>
      <c r="E13" s="252"/>
      <c r="F13" s="253"/>
      <c r="G13" s="252"/>
      <c r="H13" s="253"/>
      <c r="I13" s="252"/>
      <c r="J13" s="257"/>
      <c r="K13" s="255"/>
      <c r="L13" s="256"/>
    </row>
    <row r="14" spans="1:12" ht="18" customHeight="1" thickTop="1" thickBot="1" x14ac:dyDescent="0.25">
      <c r="A14" s="86">
        <v>11</v>
      </c>
      <c r="B14" s="87" t="str">
        <f>+'3ฒต-983ตู้'!E2</f>
        <v>3ฒต-983 ตู้</v>
      </c>
      <c r="C14" s="250"/>
      <c r="D14" s="251"/>
      <c r="E14" s="252"/>
      <c r="F14" s="253"/>
      <c r="G14" s="252"/>
      <c r="H14" s="253"/>
      <c r="I14" s="252"/>
      <c r="J14" s="257"/>
      <c r="K14" s="255"/>
      <c r="L14" s="256"/>
    </row>
    <row r="15" spans="1:12" ht="18" customHeight="1" thickTop="1" thickBot="1" x14ac:dyDescent="0.25">
      <c r="A15" s="86">
        <v>12</v>
      </c>
      <c r="B15" s="258" t="str">
        <f>+'3ฒพ-5552'!E2</f>
        <v>3ฒพ-5552</v>
      </c>
      <c r="C15" s="250"/>
      <c r="D15" s="251"/>
      <c r="E15" s="252"/>
      <c r="F15" s="253"/>
      <c r="G15" s="252"/>
      <c r="H15" s="253"/>
      <c r="I15" s="252"/>
      <c r="J15" s="257"/>
      <c r="K15" s="255"/>
      <c r="L15" s="256"/>
    </row>
    <row r="16" spans="1:12" ht="18" customHeight="1" thickTop="1" thickBot="1" x14ac:dyDescent="0.25">
      <c r="A16" s="86">
        <v>13</v>
      </c>
      <c r="B16" s="258" t="s">
        <v>146</v>
      </c>
      <c r="C16" s="250"/>
      <c r="D16" s="251"/>
      <c r="E16" s="252"/>
      <c r="F16" s="253"/>
      <c r="G16" s="252"/>
      <c r="H16" s="253"/>
      <c r="I16" s="252"/>
      <c r="J16" s="257"/>
      <c r="K16" s="255">
        <v>1800</v>
      </c>
      <c r="L16" s="256">
        <v>2</v>
      </c>
    </row>
    <row r="17" spans="1:12" ht="18" customHeight="1" thickTop="1" thickBot="1" x14ac:dyDescent="0.25">
      <c r="A17" s="86">
        <v>14</v>
      </c>
      <c r="B17" s="87" t="s">
        <v>140</v>
      </c>
      <c r="C17" s="250"/>
      <c r="D17" s="251"/>
      <c r="E17" s="252"/>
      <c r="F17" s="253"/>
      <c r="G17" s="252"/>
      <c r="H17" s="253"/>
      <c r="I17" s="252"/>
      <c r="J17" s="257"/>
      <c r="K17" s="255"/>
      <c r="L17" s="256"/>
    </row>
    <row r="18" spans="1:12" ht="18" customHeight="1" thickTop="1" thickBot="1" x14ac:dyDescent="0.25">
      <c r="A18" s="86">
        <v>15</v>
      </c>
      <c r="B18" s="87"/>
      <c r="C18" s="250"/>
      <c r="D18" s="251"/>
      <c r="E18" s="252"/>
      <c r="F18" s="253"/>
      <c r="G18" s="252"/>
      <c r="H18" s="253"/>
      <c r="I18" s="252"/>
      <c r="J18" s="257"/>
      <c r="K18" s="255"/>
      <c r="L18" s="256"/>
    </row>
    <row r="19" spans="1:12" ht="18" customHeight="1" thickTop="1" thickBot="1" x14ac:dyDescent="0.25">
      <c r="A19" s="86">
        <v>16</v>
      </c>
      <c r="B19" s="87"/>
      <c r="C19" s="250"/>
      <c r="D19" s="251"/>
      <c r="E19" s="252"/>
      <c r="F19" s="253"/>
      <c r="G19" s="252"/>
      <c r="H19" s="253"/>
      <c r="I19" s="252"/>
      <c r="J19" s="257"/>
      <c r="K19" s="255"/>
      <c r="L19" s="256"/>
    </row>
    <row r="20" spans="1:12" ht="18" customHeight="1" thickTop="1" thickBot="1" x14ac:dyDescent="0.25">
      <c r="A20" s="86">
        <v>17</v>
      </c>
      <c r="B20" s="87"/>
      <c r="C20" s="250"/>
      <c r="D20" s="251"/>
      <c r="E20" s="252"/>
      <c r="F20" s="253"/>
      <c r="G20" s="252"/>
      <c r="H20" s="253"/>
      <c r="I20" s="252"/>
      <c r="J20" s="257"/>
      <c r="K20" s="255"/>
      <c r="L20" s="256"/>
    </row>
    <row r="21" spans="1:12" ht="18" customHeight="1" thickTop="1" thickBot="1" x14ac:dyDescent="0.25">
      <c r="A21" s="86">
        <v>18</v>
      </c>
      <c r="B21" s="87"/>
      <c r="C21" s="250"/>
      <c r="D21" s="251"/>
      <c r="E21" s="252"/>
      <c r="F21" s="253"/>
      <c r="G21" s="252"/>
      <c r="H21" s="253"/>
      <c r="I21" s="252"/>
      <c r="J21" s="257"/>
      <c r="K21" s="255"/>
      <c r="L21" s="256"/>
    </row>
    <row r="22" spans="1:12" ht="15.75" thickTop="1" thickBot="1" x14ac:dyDescent="0.25">
      <c r="A22" s="86">
        <v>19</v>
      </c>
      <c r="B22" s="87"/>
      <c r="C22" s="250"/>
      <c r="D22" s="251"/>
      <c r="E22" s="252"/>
      <c r="F22" s="253"/>
      <c r="G22" s="252"/>
      <c r="H22" s="253"/>
      <c r="I22" s="252"/>
      <c r="J22" s="257"/>
      <c r="K22" s="255"/>
      <c r="L22" s="256"/>
    </row>
    <row r="23" spans="1:12" ht="15.75" thickTop="1" thickBot="1" x14ac:dyDescent="0.25">
      <c r="A23" s="86" t="s">
        <v>77</v>
      </c>
      <c r="B23" s="87"/>
      <c r="C23" s="232">
        <f>SUM(C4:C21)</f>
        <v>0</v>
      </c>
      <c r="D23" s="212">
        <f>SUM(D4:D21)</f>
        <v>0</v>
      </c>
      <c r="E23" s="216">
        <f>SUM(E4:E21)</f>
        <v>0</v>
      </c>
      <c r="F23" s="217"/>
      <c r="G23" s="216">
        <f>SUM(G4:G21)</f>
        <v>0</v>
      </c>
      <c r="H23" s="217"/>
      <c r="I23" s="216">
        <f>SUM(I4:I21)</f>
        <v>0</v>
      </c>
      <c r="J23" s="217"/>
      <c r="K23" s="86">
        <f>SUM(K4:K21)</f>
        <v>1800</v>
      </c>
      <c r="L23" s="87"/>
    </row>
    <row r="24" spans="1:12" ht="15.75" thickTop="1" thickBot="1" x14ac:dyDescent="0.25">
      <c r="A24" s="88" t="s">
        <v>101</v>
      </c>
      <c r="B24" s="89"/>
      <c r="C24" s="233"/>
      <c r="D24" s="213"/>
      <c r="E24" s="218"/>
      <c r="F24" s="219"/>
      <c r="G24" s="218"/>
      <c r="H24" s="219"/>
      <c r="I24" s="218"/>
      <c r="J24" s="219"/>
      <c r="K24" s="88"/>
      <c r="L24" s="89">
        <f>SUBTOTAL(103,Table2[คอลัมน์12])</f>
        <v>2</v>
      </c>
    </row>
    <row r="25" spans="1:12" ht="15" thickTop="1" x14ac:dyDescent="0.2"/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EF2E-A871-445D-BD72-99E00A51CA84}">
  <sheetPr>
    <tabColor theme="9" tint="-0.249977111117893"/>
  </sheetPr>
  <dimension ref="A1:D17"/>
  <sheetViews>
    <sheetView workbookViewId="0">
      <selection activeCell="C2" sqref="C2"/>
    </sheetView>
  </sheetViews>
  <sheetFormatPr defaultRowHeight="14.25" x14ac:dyDescent="0.2"/>
  <cols>
    <col min="1" max="1" width="9.375" style="85" customWidth="1"/>
    <col min="2" max="2" width="13.5" style="85" customWidth="1"/>
    <col min="3" max="3" width="20.375" style="85" customWidth="1"/>
    <col min="4" max="4" width="30.5" customWidth="1"/>
  </cols>
  <sheetData>
    <row r="1" spans="1:4" ht="24" customHeight="1" x14ac:dyDescent="0.2">
      <c r="A1" s="85" t="s">
        <v>95</v>
      </c>
      <c r="B1" s="85" t="s">
        <v>96</v>
      </c>
      <c r="C1" s="85" t="s">
        <v>97</v>
      </c>
      <c r="D1" s="85" t="str">
        <f>+Table2[[#This Row],[คอลัมน์9]]</f>
        <v>รอบวันที่ 1-15 พฤษภาคม 2569</v>
      </c>
    </row>
    <row r="2" spans="1:4" x14ac:dyDescent="0.2">
      <c r="A2" s="85">
        <v>1</v>
      </c>
      <c r="B2" s="92" t="str">
        <f>+'ผท-3888(2)'!C2</f>
        <v>ผท-3888</v>
      </c>
      <c r="C2" s="225">
        <f>+Table456782[[#Totals],[เป็นจำนวนเงิน(บาท)]]</f>
        <v>0</v>
      </c>
    </row>
    <row r="3" spans="1:4" x14ac:dyDescent="0.2">
      <c r="A3" s="85">
        <v>2</v>
      </c>
      <c r="B3" s="92" t="str">
        <f>+'ผท-6937(2)'!C2</f>
        <v>ผท-6937</v>
      </c>
      <c r="C3" s="225">
        <f>+Table45678[[#Totals],[เป็นจำนวนเงิน(บาท)]]</f>
        <v>12500</v>
      </c>
    </row>
    <row r="4" spans="1:4" x14ac:dyDescent="0.2">
      <c r="A4" s="85">
        <v>3</v>
      </c>
      <c r="B4" s="92" t="str">
        <f>+'ผจ-5663(2)'!C2</f>
        <v>ผจ-5663</v>
      </c>
      <c r="C4" s="225">
        <f>+Table45678910[[#Totals],[เป็นจำนวนเงิน(บาท)]]</f>
        <v>8000</v>
      </c>
    </row>
    <row r="5" spans="1:4" x14ac:dyDescent="0.2">
      <c r="A5" s="85">
        <v>4</v>
      </c>
      <c r="B5" s="92" t="str">
        <f>+'ผฉ-302ตู้(2)'!C2</f>
        <v>ผฉ-302 ตู้</v>
      </c>
      <c r="C5" s="225">
        <f>+Table4567891011[[#Totals],[เป็นจำนวนเงิน(บาท)]]</f>
        <v>12000</v>
      </c>
    </row>
    <row r="6" spans="1:4" x14ac:dyDescent="0.2">
      <c r="A6" s="85">
        <v>5</v>
      </c>
      <c r="B6" s="92" t="str">
        <f>+'ผฉ-1941(2)'!C2</f>
        <v>ผฉ-1941</v>
      </c>
      <c r="C6" s="225">
        <f>+Table45678910111213[[#Totals],[เป็นจำนวนเงิน(บาท)]]</f>
        <v>11500</v>
      </c>
    </row>
    <row r="7" spans="1:4" x14ac:dyDescent="0.2">
      <c r="A7" s="85">
        <v>6</v>
      </c>
      <c r="B7" s="92" t="str">
        <f>+'ผฉ-3572(2)'!C2</f>
        <v>ผฉ-3572</v>
      </c>
      <c r="C7" s="225">
        <f>+Table4567891011121314[[#Totals],[เป็นจำนวนเงิน(บาท)]]</f>
        <v>12500</v>
      </c>
    </row>
    <row r="8" spans="1:4" x14ac:dyDescent="0.2">
      <c r="A8" s="85">
        <v>7</v>
      </c>
      <c r="B8" s="92" t="str">
        <f>+'ผฉ-3101ตู้(2)'!C2</f>
        <v>ผฉ-3101 ตู้</v>
      </c>
      <c r="C8" s="225">
        <f>+Table456789101112131415[[#Totals],[เป็นจำนวนเงิน(บาท)]]</f>
        <v>12500</v>
      </c>
    </row>
    <row r="9" spans="1:4" x14ac:dyDescent="0.2">
      <c r="A9" s="85">
        <v>8</v>
      </c>
      <c r="B9" s="92" t="str">
        <f>+'ผฉ-6108ตู้(2)'!C2</f>
        <v>ผฉ-6108 ตู้</v>
      </c>
      <c r="C9" s="225">
        <f>+Table45678910111213141517[[#Totals],[เป็นจำนวนเงิน(บาท)]]</f>
        <v>9000</v>
      </c>
    </row>
    <row r="10" spans="1:4" x14ac:dyDescent="0.2">
      <c r="A10" s="85">
        <v>9</v>
      </c>
      <c r="B10" s="92" t="str">
        <f>+'3ฒต-983ตู้(2)'!C2</f>
        <v>3ฒต-983 ตู้</v>
      </c>
      <c r="C10" s="225">
        <f>+Table4567891011121314151718[[#Totals],[เป็นจำนวนเงิน(บาท)]]</f>
        <v>12000</v>
      </c>
    </row>
    <row r="11" spans="1:4" x14ac:dyDescent="0.2">
      <c r="A11" s="85">
        <v>10</v>
      </c>
      <c r="B11" s="92" t="str">
        <f>+'3ฒพ-5552(2)'!C2</f>
        <v>3ฒพ-5552</v>
      </c>
      <c r="C11" s="226">
        <f>+Table45678910111213141517181920212228[[#Totals],[เป็นจำนวนเงิน(บาท)]]</f>
        <v>0</v>
      </c>
    </row>
    <row r="12" spans="1:4" x14ac:dyDescent="0.2">
      <c r="A12" s="85">
        <v>11</v>
      </c>
      <c r="B12" s="92" t="str">
        <f>+'ผท-4890(2)'!C2</f>
        <v>ผท-4890</v>
      </c>
      <c r="C12" s="85">
        <f>+Table45678910111213141517181920212228323337[[#Totals],[เป็นจำนวนเงิน(บาท)]]</f>
        <v>10900</v>
      </c>
    </row>
    <row r="13" spans="1:4" x14ac:dyDescent="0.2">
      <c r="A13" s="85">
        <v>12</v>
      </c>
      <c r="B13" s="92" t="str">
        <f>+'บล-5334(2)'!C2</f>
        <v>บล-5334</v>
      </c>
      <c r="C13" s="85">
        <f>+Table456789101112131415171819202122[[#Totals],[เป็นจำนวนเงิน(บาท)]]</f>
        <v>0</v>
      </c>
    </row>
    <row r="14" spans="1:4" x14ac:dyDescent="0.2">
      <c r="A14" s="85">
        <v>13</v>
      </c>
      <c r="B14" s="92"/>
    </row>
    <row r="15" spans="1:4" x14ac:dyDescent="0.2">
      <c r="A15" s="85">
        <v>14</v>
      </c>
      <c r="B15" s="92"/>
    </row>
    <row r="16" spans="1:4" x14ac:dyDescent="0.2">
      <c r="A16" s="85">
        <v>15</v>
      </c>
    </row>
    <row r="17" spans="1:3" x14ac:dyDescent="0.2">
      <c r="A17" s="85" t="s">
        <v>101</v>
      </c>
      <c r="C17" s="85">
        <f>SUBTOTAL(109,Table26[คอลัมน์3])</f>
        <v>100900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6A3D-AB60-40D6-8D8A-276D875583C4}">
  <sheetPr>
    <tabColor rgb="FF002060"/>
  </sheetPr>
  <dimension ref="A1:C21"/>
  <sheetViews>
    <sheetView zoomScaleNormal="100" workbookViewId="0">
      <selection activeCell="B5" sqref="B5"/>
    </sheetView>
  </sheetViews>
  <sheetFormatPr defaultRowHeight="23.25" x14ac:dyDescent="0.2"/>
  <cols>
    <col min="1" max="1" width="9.25" style="35" customWidth="1"/>
    <col min="2" max="2" width="12" style="36" bestFit="1" customWidth="1"/>
    <col min="3" max="3" width="11.375" style="35" customWidth="1"/>
    <col min="4" max="16384" width="9" style="35"/>
  </cols>
  <sheetData>
    <row r="1" spans="1:3" x14ac:dyDescent="0.2">
      <c r="A1" s="63" t="s">
        <v>73</v>
      </c>
      <c r="B1" s="63"/>
      <c r="C1" s="62" t="str">
        <f>+Table2[[#This Row],[คอลัมน์9]]</f>
        <v>รอบวันที่ 1-15 พฤษภาคม 2569</v>
      </c>
    </row>
    <row r="2" spans="1:3" x14ac:dyDescent="0.2">
      <c r="A2" s="70" t="s">
        <v>95</v>
      </c>
      <c r="B2" s="70" t="s">
        <v>96</v>
      </c>
      <c r="C2" s="70" t="s">
        <v>97</v>
      </c>
    </row>
    <row r="3" spans="1:3" x14ac:dyDescent="0.2">
      <c r="A3" s="71" t="s">
        <v>75</v>
      </c>
      <c r="B3" s="71" t="s">
        <v>41</v>
      </c>
      <c r="C3" s="71"/>
    </row>
    <row r="4" spans="1:3" ht="18" customHeight="1" x14ac:dyDescent="0.2">
      <c r="A4" s="66">
        <v>1</v>
      </c>
      <c r="B4" s="72" t="str">
        <f>+'ผท-3888'!E2</f>
        <v>ผท-3888</v>
      </c>
      <c r="C4" s="72">
        <f>+'ผท-3888'!C39</f>
        <v>38812.158000000003</v>
      </c>
    </row>
    <row r="5" spans="1:3" ht="18" customHeight="1" x14ac:dyDescent="0.2">
      <c r="A5" s="66">
        <v>2</v>
      </c>
      <c r="B5" s="72" t="str">
        <f>+'ผท-6937'!E2</f>
        <v>ผท-6937</v>
      </c>
      <c r="C5" s="72">
        <f>+'ผท-6937'!C31</f>
        <v>15839.641000000003</v>
      </c>
    </row>
    <row r="6" spans="1:3" ht="18" customHeight="1" x14ac:dyDescent="0.2">
      <c r="A6" s="66">
        <v>3</v>
      </c>
      <c r="B6" s="72" t="str">
        <f>+'ผจ-5663'!E2</f>
        <v>ผจ-5663</v>
      </c>
      <c r="C6" s="72">
        <f>+'ผจ-5663'!C28</f>
        <v>5210.5599999999995</v>
      </c>
    </row>
    <row r="7" spans="1:3" ht="18" customHeight="1" x14ac:dyDescent="0.2">
      <c r="A7" s="66">
        <v>4</v>
      </c>
      <c r="B7" s="72" t="str">
        <f>+'ผฉ-302ตู้'!E2</f>
        <v>ผฉ-302 ตู้</v>
      </c>
      <c r="C7" s="72">
        <f>+'ผฉ-302ตู้'!C34</f>
        <v>12722.676000000003</v>
      </c>
    </row>
    <row r="8" spans="1:3" ht="18" customHeight="1" x14ac:dyDescent="0.2">
      <c r="A8" s="66">
        <v>5</v>
      </c>
      <c r="B8" s="72" t="str">
        <f>+'ผฉ-1941'!E2</f>
        <v>ผฉ-1941</v>
      </c>
      <c r="C8" s="72">
        <f>+'ผฉ-1941'!C33</f>
        <v>13179.808999999997</v>
      </c>
    </row>
    <row r="9" spans="1:3" ht="18" customHeight="1" x14ac:dyDescent="0.2">
      <c r="A9" s="66">
        <v>6</v>
      </c>
      <c r="B9" s="72" t="str">
        <f>+'ผฉ-3572'!E2</f>
        <v>ผฉ-3572</v>
      </c>
      <c r="C9" s="72">
        <f>+'ผฉ-3572'!C35</f>
        <v>23108.419000000002</v>
      </c>
    </row>
    <row r="10" spans="1:3" ht="18" customHeight="1" x14ac:dyDescent="0.2">
      <c r="A10" s="66">
        <v>7</v>
      </c>
      <c r="B10" s="72" t="str">
        <f>+'ผฉ-3101ตู้'!E2</f>
        <v>ผฉ-3101 ตู้</v>
      </c>
      <c r="C10" s="72">
        <f>+'ผฉ-3101ตู้'!C30</f>
        <v>11066.554</v>
      </c>
    </row>
    <row r="11" spans="1:3" ht="18" customHeight="1" x14ac:dyDescent="0.2">
      <c r="A11" s="66">
        <v>8</v>
      </c>
      <c r="B11" s="72" t="str">
        <f>+'ผฉ-6108ตู้'!E2</f>
        <v>ผฉ-6108 ตู้</v>
      </c>
      <c r="C11" s="72">
        <f>+'ผฉ-6108ตู้'!C27</f>
        <v>6884.5499999999993</v>
      </c>
    </row>
    <row r="12" spans="1:3" ht="18" customHeight="1" x14ac:dyDescent="0.2">
      <c r="A12" s="66">
        <v>9</v>
      </c>
      <c r="B12" s="72" t="str">
        <f>+'3ฒต-983ตู้'!E2</f>
        <v>3ฒต-983 ตู้</v>
      </c>
      <c r="C12" s="72">
        <f>+'3ฒต-983ตู้'!C30</f>
        <v>13421.616000000002</v>
      </c>
    </row>
    <row r="13" spans="1:3" ht="18" customHeight="1" x14ac:dyDescent="0.2">
      <c r="A13" s="66">
        <v>10</v>
      </c>
      <c r="B13" s="72" t="str">
        <f>+'3ฒพ-5552'!E2</f>
        <v>3ฒพ-5552</v>
      </c>
      <c r="C13" s="72">
        <f>+'3ฒพ-5552'!C20</f>
        <v>0</v>
      </c>
    </row>
    <row r="14" spans="1:3" ht="18" customHeight="1" x14ac:dyDescent="0.2">
      <c r="A14" s="66">
        <v>11</v>
      </c>
      <c r="B14" s="72" t="e">
        <f>+'[1]ผท-4890'!E2</f>
        <v>#REF!</v>
      </c>
      <c r="C14" s="72">
        <f>+'ผท-4890'!C30</f>
        <v>9428.3810000000012</v>
      </c>
    </row>
    <row r="15" spans="1:3" ht="18" customHeight="1" x14ac:dyDescent="0.2">
      <c r="A15" s="66">
        <v>12</v>
      </c>
      <c r="B15" s="72" t="s">
        <v>140</v>
      </c>
      <c r="C15" s="72">
        <f>+'บล-5334'!C23</f>
        <v>0</v>
      </c>
    </row>
    <row r="16" spans="1:3" ht="18" customHeight="1" x14ac:dyDescent="0.2">
      <c r="A16" s="66">
        <v>13</v>
      </c>
      <c r="B16" s="71"/>
      <c r="C16" s="71"/>
    </row>
    <row r="17" spans="1:3" ht="18" customHeight="1" x14ac:dyDescent="0.2">
      <c r="A17" s="66">
        <v>14</v>
      </c>
      <c r="B17" s="71"/>
      <c r="C17" s="71"/>
    </row>
    <row r="18" spans="1:3" ht="18" customHeight="1" x14ac:dyDescent="0.2">
      <c r="A18" s="66">
        <v>15</v>
      </c>
      <c r="B18" s="71"/>
      <c r="C18" s="71"/>
    </row>
    <row r="19" spans="1:3" ht="18" customHeight="1" x14ac:dyDescent="0.2">
      <c r="A19" s="66">
        <v>16</v>
      </c>
      <c r="B19" s="71"/>
      <c r="C19" s="71"/>
    </row>
    <row r="20" spans="1:3" ht="18" customHeight="1" x14ac:dyDescent="0.2">
      <c r="A20" s="66"/>
      <c r="B20" s="71"/>
      <c r="C20" s="66"/>
    </row>
    <row r="21" spans="1:3" x14ac:dyDescent="0.2">
      <c r="A21" s="35" t="s">
        <v>77</v>
      </c>
      <c r="C21" s="227">
        <f>SUM(C4:C19)</f>
        <v>149674.364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0093"/>
  </sheetPr>
  <dimension ref="A1:I102"/>
  <sheetViews>
    <sheetView topLeftCell="A55" workbookViewId="0">
      <selection activeCell="D11" sqref="D11:D17"/>
    </sheetView>
  </sheetViews>
  <sheetFormatPr defaultRowHeight="38.25" customHeight="1" x14ac:dyDescent="0.45"/>
  <cols>
    <col min="1" max="1" width="14.125" style="1" customWidth="1"/>
    <col min="2" max="2" width="20.5" style="1" bestFit="1" customWidth="1"/>
    <col min="3" max="3" width="11.25" style="8" customWidth="1"/>
    <col min="4" max="4" width="13.625" style="1" customWidth="1"/>
    <col min="5" max="5" width="25" style="1" bestFit="1" customWidth="1"/>
    <col min="6" max="16384" width="9" style="1"/>
  </cols>
  <sheetData>
    <row r="1" spans="1:9" ht="49.5" customHeight="1" x14ac:dyDescent="0.45">
      <c r="A1" s="385" t="s">
        <v>18</v>
      </c>
      <c r="B1" s="385"/>
      <c r="C1" s="385"/>
      <c r="D1" s="385"/>
      <c r="E1" s="385"/>
    </row>
    <row r="2" spans="1:9" ht="21" x14ac:dyDescent="0.45">
      <c r="A2" s="2" t="s">
        <v>13</v>
      </c>
      <c r="B2" s="2" t="s">
        <v>17</v>
      </c>
      <c r="C2" s="2" t="s">
        <v>14</v>
      </c>
      <c r="D2" s="2" t="s">
        <v>15</v>
      </c>
      <c r="E2" s="2" t="s">
        <v>6</v>
      </c>
      <c r="I2" s="3" t="s">
        <v>14</v>
      </c>
    </row>
    <row r="3" spans="1:9" ht="21" x14ac:dyDescent="0.45">
      <c r="A3" s="4">
        <v>1</v>
      </c>
      <c r="B3" s="5" t="s">
        <v>44</v>
      </c>
      <c r="C3" s="2" t="s">
        <v>15</v>
      </c>
      <c r="D3" s="9">
        <v>700</v>
      </c>
      <c r="E3" s="6"/>
      <c r="I3" s="3" t="s">
        <v>15</v>
      </c>
    </row>
    <row r="4" spans="1:9" ht="21" x14ac:dyDescent="0.45">
      <c r="A4" s="4">
        <v>2</v>
      </c>
      <c r="B4" s="5" t="s">
        <v>45</v>
      </c>
      <c r="C4" s="2" t="s">
        <v>15</v>
      </c>
      <c r="D4" s="9">
        <v>750</v>
      </c>
      <c r="E4" s="4" t="s">
        <v>16</v>
      </c>
    </row>
    <row r="5" spans="1:9" ht="21" x14ac:dyDescent="0.45">
      <c r="A5" s="4">
        <v>3</v>
      </c>
      <c r="B5" s="5" t="s">
        <v>46</v>
      </c>
      <c r="C5" s="2" t="s">
        <v>15</v>
      </c>
      <c r="D5" s="9">
        <v>750</v>
      </c>
      <c r="E5" s="4" t="s">
        <v>16</v>
      </c>
      <c r="G5" s="1" t="s">
        <v>40</v>
      </c>
    </row>
    <row r="6" spans="1:9" ht="21" x14ac:dyDescent="0.45">
      <c r="A6" s="4">
        <v>4</v>
      </c>
      <c r="B6" s="5" t="s">
        <v>47</v>
      </c>
      <c r="C6" s="2" t="s">
        <v>15</v>
      </c>
      <c r="D6" s="9">
        <v>900</v>
      </c>
      <c r="E6" s="4" t="s">
        <v>16</v>
      </c>
    </row>
    <row r="7" spans="1:9" ht="21" x14ac:dyDescent="0.45">
      <c r="A7" s="4">
        <v>5</v>
      </c>
      <c r="B7" s="5" t="s">
        <v>48</v>
      </c>
      <c r="C7" s="2" t="s">
        <v>15</v>
      </c>
      <c r="D7" s="9">
        <v>900</v>
      </c>
      <c r="E7" s="4" t="s">
        <v>16</v>
      </c>
    </row>
    <row r="8" spans="1:9" ht="21" x14ac:dyDescent="0.45">
      <c r="A8" s="4">
        <v>6</v>
      </c>
      <c r="B8" s="5" t="s">
        <v>49</v>
      </c>
      <c r="C8" s="2" t="s">
        <v>15</v>
      </c>
      <c r="D8" s="9">
        <v>900</v>
      </c>
      <c r="E8" s="4" t="s">
        <v>16</v>
      </c>
    </row>
    <row r="9" spans="1:9" ht="21" x14ac:dyDescent="0.45">
      <c r="A9" s="4">
        <v>7</v>
      </c>
      <c r="B9" s="5" t="s">
        <v>93</v>
      </c>
      <c r="C9" s="2" t="s">
        <v>15</v>
      </c>
      <c r="D9" s="9">
        <v>900</v>
      </c>
      <c r="E9" s="4" t="s">
        <v>16</v>
      </c>
    </row>
    <row r="10" spans="1:9" ht="21" x14ac:dyDescent="0.45">
      <c r="A10" s="4">
        <v>8</v>
      </c>
      <c r="B10" s="5" t="s">
        <v>50</v>
      </c>
      <c r="C10" s="2" t="s">
        <v>15</v>
      </c>
      <c r="D10" s="9">
        <v>900</v>
      </c>
      <c r="E10" s="4" t="s">
        <v>16</v>
      </c>
    </row>
    <row r="11" spans="1:9" ht="21" x14ac:dyDescent="0.45">
      <c r="A11" s="4">
        <v>9</v>
      </c>
      <c r="B11" s="5" t="s">
        <v>51</v>
      </c>
      <c r="C11" s="2" t="s">
        <v>15</v>
      </c>
      <c r="D11" s="9">
        <v>1300</v>
      </c>
      <c r="E11" s="4" t="s">
        <v>16</v>
      </c>
    </row>
    <row r="12" spans="1:9" ht="21" x14ac:dyDescent="0.45">
      <c r="A12" s="4">
        <v>10</v>
      </c>
      <c r="B12" s="5" t="s">
        <v>52</v>
      </c>
      <c r="C12" s="2" t="s">
        <v>15</v>
      </c>
      <c r="D12" s="9">
        <v>1300</v>
      </c>
      <c r="E12" s="4" t="s">
        <v>16</v>
      </c>
    </row>
    <row r="13" spans="1:9" ht="21" x14ac:dyDescent="0.45">
      <c r="A13" s="4">
        <v>11</v>
      </c>
      <c r="B13" s="5" t="s">
        <v>53</v>
      </c>
      <c r="C13" s="2" t="s">
        <v>15</v>
      </c>
      <c r="D13" s="9">
        <v>1300</v>
      </c>
      <c r="E13" s="4" t="s">
        <v>16</v>
      </c>
    </row>
    <row r="14" spans="1:9" ht="21" x14ac:dyDescent="0.45">
      <c r="A14" s="4">
        <v>12</v>
      </c>
      <c r="B14" s="5" t="s">
        <v>54</v>
      </c>
      <c r="C14" s="2" t="s">
        <v>15</v>
      </c>
      <c r="D14" s="9">
        <v>1300</v>
      </c>
      <c r="E14" s="4" t="s">
        <v>16</v>
      </c>
    </row>
    <row r="15" spans="1:9" ht="21" x14ac:dyDescent="0.45">
      <c r="A15" s="4">
        <v>13</v>
      </c>
      <c r="B15" s="5" t="s">
        <v>55</v>
      </c>
      <c r="C15" s="2" t="s">
        <v>15</v>
      </c>
      <c r="D15" s="9">
        <v>1300</v>
      </c>
      <c r="E15" s="4" t="s">
        <v>16</v>
      </c>
    </row>
    <row r="16" spans="1:9" ht="21" x14ac:dyDescent="0.45">
      <c r="A16" s="4">
        <v>14</v>
      </c>
      <c r="B16" s="5" t="s">
        <v>56</v>
      </c>
      <c r="C16" s="2" t="s">
        <v>15</v>
      </c>
      <c r="D16" s="9">
        <v>1300</v>
      </c>
      <c r="E16" s="4" t="s">
        <v>16</v>
      </c>
    </row>
    <row r="17" spans="1:5" ht="21" x14ac:dyDescent="0.45">
      <c r="A17" s="4">
        <v>15</v>
      </c>
      <c r="B17" s="5" t="s">
        <v>57</v>
      </c>
      <c r="C17" s="2" t="s">
        <v>15</v>
      </c>
      <c r="D17" s="9">
        <v>1300</v>
      </c>
      <c r="E17" s="4" t="s">
        <v>16</v>
      </c>
    </row>
    <row r="18" spans="1:5" ht="21" x14ac:dyDescent="0.45">
      <c r="A18" s="4">
        <v>16</v>
      </c>
      <c r="B18" s="5" t="s">
        <v>60</v>
      </c>
      <c r="C18" s="2" t="s">
        <v>15</v>
      </c>
      <c r="D18" s="9">
        <v>1300</v>
      </c>
      <c r="E18" s="4" t="s">
        <v>16</v>
      </c>
    </row>
    <row r="19" spans="1:5" ht="21" x14ac:dyDescent="0.45">
      <c r="A19" s="4">
        <v>17</v>
      </c>
      <c r="B19" s="5" t="s">
        <v>59</v>
      </c>
      <c r="C19" s="2" t="s">
        <v>15</v>
      </c>
      <c r="D19" s="9">
        <v>1300</v>
      </c>
      <c r="E19" s="4" t="s">
        <v>16</v>
      </c>
    </row>
    <row r="20" spans="1:5" ht="21" x14ac:dyDescent="0.45">
      <c r="A20" s="4">
        <v>18</v>
      </c>
      <c r="B20" s="5" t="s">
        <v>58</v>
      </c>
      <c r="C20" s="2" t="s">
        <v>15</v>
      </c>
      <c r="D20" s="9">
        <v>1300</v>
      </c>
      <c r="E20" s="4" t="s">
        <v>16</v>
      </c>
    </row>
    <row r="21" spans="1:5" ht="21" x14ac:dyDescent="0.45">
      <c r="A21" s="4">
        <v>19</v>
      </c>
      <c r="B21" s="5" t="s">
        <v>61</v>
      </c>
      <c r="C21" s="2" t="s">
        <v>15</v>
      </c>
      <c r="D21" s="9">
        <v>1300</v>
      </c>
      <c r="E21" s="4" t="s">
        <v>16</v>
      </c>
    </row>
    <row r="22" spans="1:5" ht="21" x14ac:dyDescent="0.45">
      <c r="A22" s="4">
        <v>20</v>
      </c>
      <c r="B22" s="5" t="s">
        <v>62</v>
      </c>
      <c r="C22" s="2" t="s">
        <v>15</v>
      </c>
      <c r="D22" s="9">
        <v>1300</v>
      </c>
      <c r="E22" s="4" t="s">
        <v>16</v>
      </c>
    </row>
    <row r="23" spans="1:5" ht="21" x14ac:dyDescent="0.45">
      <c r="A23" s="4">
        <v>21</v>
      </c>
      <c r="B23" s="5" t="s">
        <v>63</v>
      </c>
      <c r="C23" s="2" t="s">
        <v>15</v>
      </c>
      <c r="D23" s="9">
        <v>1700</v>
      </c>
      <c r="E23" s="4" t="s">
        <v>16</v>
      </c>
    </row>
    <row r="24" spans="1:5" ht="21" x14ac:dyDescent="0.45">
      <c r="A24" s="4">
        <v>22</v>
      </c>
      <c r="B24" s="5" t="s">
        <v>64</v>
      </c>
      <c r="C24" s="2" t="s">
        <v>15</v>
      </c>
      <c r="D24" s="9">
        <v>1700</v>
      </c>
      <c r="E24" s="4" t="s">
        <v>16</v>
      </c>
    </row>
    <row r="25" spans="1:5" ht="21" x14ac:dyDescent="0.45">
      <c r="A25" s="4">
        <v>23</v>
      </c>
      <c r="B25" s="5" t="s">
        <v>65</v>
      </c>
      <c r="C25" s="2" t="s">
        <v>15</v>
      </c>
      <c r="D25" s="9">
        <v>1700</v>
      </c>
      <c r="E25" s="4" t="s">
        <v>16</v>
      </c>
    </row>
    <row r="26" spans="1:5" ht="21" x14ac:dyDescent="0.45">
      <c r="A26" s="4">
        <v>24</v>
      </c>
      <c r="B26" s="5" t="s">
        <v>21</v>
      </c>
      <c r="C26" s="2" t="s">
        <v>15</v>
      </c>
      <c r="D26" s="9">
        <v>1300</v>
      </c>
      <c r="E26" s="4" t="s">
        <v>16</v>
      </c>
    </row>
    <row r="27" spans="1:5" ht="21" x14ac:dyDescent="0.45">
      <c r="A27" s="4">
        <v>25</v>
      </c>
      <c r="B27" s="5" t="s">
        <v>20</v>
      </c>
      <c r="C27" s="2" t="s">
        <v>15</v>
      </c>
      <c r="D27" s="9">
        <v>1300</v>
      </c>
      <c r="E27" s="4" t="s">
        <v>16</v>
      </c>
    </row>
    <row r="28" spans="1:5" ht="21" x14ac:dyDescent="0.45">
      <c r="A28" s="4">
        <v>26</v>
      </c>
      <c r="B28" s="5" t="s">
        <v>19</v>
      </c>
      <c r="C28" s="2" t="s">
        <v>15</v>
      </c>
      <c r="D28" s="9">
        <v>1300</v>
      </c>
      <c r="E28" s="4" t="s">
        <v>16</v>
      </c>
    </row>
    <row r="29" spans="1:5" ht="21" x14ac:dyDescent="0.45">
      <c r="A29" s="4">
        <v>27</v>
      </c>
      <c r="B29" s="5" t="s">
        <v>22</v>
      </c>
      <c r="C29" s="2" t="s">
        <v>15</v>
      </c>
      <c r="D29" s="9">
        <v>1300</v>
      </c>
      <c r="E29" s="4" t="s">
        <v>16</v>
      </c>
    </row>
    <row r="30" spans="1:5" ht="21" x14ac:dyDescent="0.45">
      <c r="A30" s="4">
        <v>28</v>
      </c>
      <c r="B30" s="5" t="s">
        <v>23</v>
      </c>
      <c r="C30" s="2" t="s">
        <v>15</v>
      </c>
      <c r="D30" s="9">
        <v>1300</v>
      </c>
      <c r="E30" s="4" t="s">
        <v>16</v>
      </c>
    </row>
    <row r="31" spans="1:5" ht="21" x14ac:dyDescent="0.45">
      <c r="A31" s="4">
        <v>29</v>
      </c>
      <c r="B31" s="5" t="s">
        <v>39</v>
      </c>
      <c r="C31" s="2" t="s">
        <v>15</v>
      </c>
      <c r="D31" s="9">
        <v>1700</v>
      </c>
      <c r="E31" s="4" t="s">
        <v>16</v>
      </c>
    </row>
    <row r="32" spans="1:5" ht="21" x14ac:dyDescent="0.45">
      <c r="A32" s="4">
        <v>30</v>
      </c>
      <c r="B32" s="5" t="s">
        <v>24</v>
      </c>
      <c r="C32" s="2" t="s">
        <v>15</v>
      </c>
      <c r="D32" s="9">
        <v>1700</v>
      </c>
      <c r="E32" s="4" t="s">
        <v>16</v>
      </c>
    </row>
    <row r="33" spans="1:5" ht="21" x14ac:dyDescent="0.45">
      <c r="A33" s="4">
        <v>31</v>
      </c>
      <c r="B33" s="5" t="s">
        <v>25</v>
      </c>
      <c r="C33" s="2" t="s">
        <v>15</v>
      </c>
      <c r="D33" s="9">
        <v>1700</v>
      </c>
      <c r="E33" s="4" t="s">
        <v>16</v>
      </c>
    </row>
    <row r="34" spans="1:5" ht="21" x14ac:dyDescent="0.45">
      <c r="A34" s="4">
        <v>32</v>
      </c>
      <c r="B34" s="5" t="s">
        <v>29</v>
      </c>
      <c r="C34" s="2" t="s">
        <v>15</v>
      </c>
      <c r="D34" s="9">
        <v>1350</v>
      </c>
      <c r="E34" s="4" t="s">
        <v>16</v>
      </c>
    </row>
    <row r="35" spans="1:5" ht="21" x14ac:dyDescent="0.45">
      <c r="A35" s="4">
        <v>33</v>
      </c>
      <c r="B35" s="5" t="s">
        <v>30</v>
      </c>
      <c r="C35" s="2" t="s">
        <v>15</v>
      </c>
      <c r="D35" s="9">
        <v>1350</v>
      </c>
      <c r="E35" s="4" t="s">
        <v>16</v>
      </c>
    </row>
    <row r="36" spans="1:5" ht="21" x14ac:dyDescent="0.45">
      <c r="A36" s="4">
        <v>34</v>
      </c>
      <c r="B36" s="5" t="s">
        <v>31</v>
      </c>
      <c r="C36" s="2" t="s">
        <v>15</v>
      </c>
      <c r="D36" s="9">
        <v>1350</v>
      </c>
      <c r="E36" s="4" t="s">
        <v>16</v>
      </c>
    </row>
    <row r="37" spans="1:5" ht="21" x14ac:dyDescent="0.45">
      <c r="A37" s="4">
        <v>35</v>
      </c>
      <c r="B37" s="5" t="s">
        <v>32</v>
      </c>
      <c r="C37" s="2" t="s">
        <v>15</v>
      </c>
      <c r="D37" s="9">
        <v>1350</v>
      </c>
      <c r="E37" s="4" t="s">
        <v>16</v>
      </c>
    </row>
    <row r="38" spans="1:5" ht="21" x14ac:dyDescent="0.45">
      <c r="A38" s="4">
        <v>36</v>
      </c>
      <c r="B38" s="5" t="s">
        <v>33</v>
      </c>
      <c r="C38" s="2" t="s">
        <v>15</v>
      </c>
      <c r="D38" s="9">
        <v>1650</v>
      </c>
      <c r="E38" s="4" t="s">
        <v>16</v>
      </c>
    </row>
    <row r="39" spans="1:5" ht="21" x14ac:dyDescent="0.45">
      <c r="A39" s="4">
        <v>37</v>
      </c>
      <c r="B39" s="5" t="s">
        <v>34</v>
      </c>
      <c r="C39" s="2" t="s">
        <v>15</v>
      </c>
      <c r="D39" s="9">
        <v>1650</v>
      </c>
      <c r="E39" s="4" t="s">
        <v>16</v>
      </c>
    </row>
    <row r="40" spans="1:5" ht="21" x14ac:dyDescent="0.45">
      <c r="A40" s="4">
        <v>38</v>
      </c>
      <c r="B40" s="5" t="s">
        <v>35</v>
      </c>
      <c r="C40" s="2" t="s">
        <v>15</v>
      </c>
      <c r="D40" s="9">
        <v>1650</v>
      </c>
      <c r="E40" s="4" t="s">
        <v>16</v>
      </c>
    </row>
    <row r="41" spans="1:5" ht="21" x14ac:dyDescent="0.45">
      <c r="A41" s="4">
        <v>39</v>
      </c>
      <c r="B41" s="5" t="s">
        <v>36</v>
      </c>
      <c r="C41" s="2" t="s">
        <v>15</v>
      </c>
      <c r="D41" s="9">
        <v>1650</v>
      </c>
      <c r="E41" s="4" t="s">
        <v>16</v>
      </c>
    </row>
    <row r="42" spans="1:5" ht="21" x14ac:dyDescent="0.45">
      <c r="A42" s="4">
        <v>40</v>
      </c>
      <c r="B42" s="5" t="s">
        <v>26</v>
      </c>
      <c r="C42" s="2" t="s">
        <v>15</v>
      </c>
      <c r="D42" s="9">
        <v>1650</v>
      </c>
      <c r="E42" s="4" t="s">
        <v>16</v>
      </c>
    </row>
    <row r="43" spans="1:5" ht="21" x14ac:dyDescent="0.45">
      <c r="A43" s="4">
        <v>41</v>
      </c>
      <c r="B43" s="5" t="s">
        <v>27</v>
      </c>
      <c r="C43" s="2" t="s">
        <v>15</v>
      </c>
      <c r="D43" s="9">
        <v>1650</v>
      </c>
      <c r="E43" s="4" t="s">
        <v>16</v>
      </c>
    </row>
    <row r="44" spans="1:5" ht="21" x14ac:dyDescent="0.45">
      <c r="A44" s="4">
        <v>42</v>
      </c>
      <c r="B44" s="5" t="s">
        <v>28</v>
      </c>
      <c r="C44" s="2" t="s">
        <v>15</v>
      </c>
      <c r="D44" s="9">
        <v>1650</v>
      </c>
      <c r="E44" s="4" t="s">
        <v>16</v>
      </c>
    </row>
    <row r="45" spans="1:5" ht="21" x14ac:dyDescent="0.45">
      <c r="A45" s="4">
        <v>43</v>
      </c>
      <c r="B45" s="5" t="s">
        <v>38</v>
      </c>
      <c r="C45" s="2" t="s">
        <v>15</v>
      </c>
      <c r="D45" s="9">
        <v>1650</v>
      </c>
      <c r="E45" s="4" t="s">
        <v>16</v>
      </c>
    </row>
    <row r="46" spans="1:5" ht="21" x14ac:dyDescent="0.45">
      <c r="A46" s="4">
        <v>44</v>
      </c>
      <c r="B46" s="5" t="s">
        <v>66</v>
      </c>
      <c r="C46" s="2" t="s">
        <v>15</v>
      </c>
      <c r="D46" s="9">
        <v>1900</v>
      </c>
      <c r="E46" s="4" t="s">
        <v>16</v>
      </c>
    </row>
    <row r="47" spans="1:5" ht="21" x14ac:dyDescent="0.45">
      <c r="A47" s="4">
        <v>45</v>
      </c>
      <c r="B47" s="5" t="s">
        <v>67</v>
      </c>
      <c r="C47" s="2" t="s">
        <v>15</v>
      </c>
      <c r="D47" s="9">
        <v>2000</v>
      </c>
      <c r="E47" s="4" t="s">
        <v>16</v>
      </c>
    </row>
    <row r="48" spans="1:5" ht="21" x14ac:dyDescent="0.45">
      <c r="A48" s="4">
        <v>46</v>
      </c>
      <c r="B48" s="5" t="s">
        <v>68</v>
      </c>
      <c r="C48" s="2" t="s">
        <v>15</v>
      </c>
      <c r="D48" s="9">
        <v>2000</v>
      </c>
      <c r="E48" s="4" t="s">
        <v>16</v>
      </c>
    </row>
    <row r="49" spans="1:9" ht="21" x14ac:dyDescent="0.45">
      <c r="A49" s="4">
        <v>47</v>
      </c>
      <c r="B49" s="5" t="s">
        <v>69</v>
      </c>
      <c r="C49" s="2" t="s">
        <v>15</v>
      </c>
      <c r="D49" s="9">
        <v>2000</v>
      </c>
      <c r="E49" s="4" t="s">
        <v>16</v>
      </c>
    </row>
    <row r="50" spans="1:9" ht="21" x14ac:dyDescent="0.45">
      <c r="A50" s="4">
        <v>48</v>
      </c>
      <c r="B50" s="5" t="s">
        <v>70</v>
      </c>
      <c r="C50" s="2" t="s">
        <v>15</v>
      </c>
      <c r="D50" s="9">
        <v>2000</v>
      </c>
      <c r="E50" s="4" t="s">
        <v>16</v>
      </c>
    </row>
    <row r="51" spans="1:9" ht="21" x14ac:dyDescent="0.45">
      <c r="A51" s="4">
        <v>49</v>
      </c>
      <c r="B51" s="5" t="s">
        <v>71</v>
      </c>
      <c r="C51" s="2" t="s">
        <v>15</v>
      </c>
      <c r="D51" s="9">
        <v>2000</v>
      </c>
      <c r="E51" s="4" t="s">
        <v>16</v>
      </c>
    </row>
    <row r="52" spans="1:9" ht="21" x14ac:dyDescent="0.45">
      <c r="A52" s="4">
        <v>50</v>
      </c>
      <c r="B52" s="5" t="s">
        <v>72</v>
      </c>
      <c r="C52" s="2" t="s">
        <v>15</v>
      </c>
      <c r="D52" s="9">
        <v>2500</v>
      </c>
      <c r="E52" s="4" t="s">
        <v>16</v>
      </c>
    </row>
    <row r="53" spans="1:9" ht="21" x14ac:dyDescent="0.45">
      <c r="A53" s="4"/>
      <c r="B53" s="5" t="s">
        <v>44</v>
      </c>
      <c r="C53" s="7" t="s">
        <v>14</v>
      </c>
      <c r="D53" s="9">
        <v>3</v>
      </c>
      <c r="E53" s="6" t="s">
        <v>136</v>
      </c>
      <c r="I53" s="3" t="s">
        <v>15</v>
      </c>
    </row>
    <row r="54" spans="1:9" ht="21" x14ac:dyDescent="0.45">
      <c r="A54" s="4"/>
      <c r="B54" s="5" t="s">
        <v>45</v>
      </c>
      <c r="C54" s="7" t="s">
        <v>14</v>
      </c>
      <c r="D54" s="7">
        <v>3.3</v>
      </c>
      <c r="E54" s="4"/>
    </row>
    <row r="55" spans="1:9" ht="21" x14ac:dyDescent="0.45">
      <c r="A55" s="4"/>
      <c r="B55" s="5" t="s">
        <v>46</v>
      </c>
      <c r="C55" s="7" t="s">
        <v>14</v>
      </c>
      <c r="D55" s="7">
        <v>3.2</v>
      </c>
      <c r="E55" s="4"/>
    </row>
    <row r="56" spans="1:9" ht="21" x14ac:dyDescent="0.45">
      <c r="A56" s="4"/>
      <c r="B56" s="5" t="s">
        <v>47</v>
      </c>
      <c r="C56" s="7" t="s">
        <v>14</v>
      </c>
      <c r="D56" s="7">
        <v>3.2</v>
      </c>
      <c r="E56" s="4"/>
    </row>
    <row r="57" spans="1:9" ht="21" x14ac:dyDescent="0.45">
      <c r="A57" s="4"/>
      <c r="B57" s="5" t="s">
        <v>48</v>
      </c>
      <c r="C57" s="7" t="s">
        <v>14</v>
      </c>
      <c r="D57" s="7">
        <v>3.8</v>
      </c>
      <c r="E57" s="4"/>
    </row>
    <row r="58" spans="1:9" ht="21" x14ac:dyDescent="0.45">
      <c r="A58" s="4"/>
      <c r="B58" s="5" t="s">
        <v>49</v>
      </c>
      <c r="C58" s="7" t="s">
        <v>14</v>
      </c>
      <c r="D58" s="7">
        <v>3.8</v>
      </c>
      <c r="E58" s="4"/>
    </row>
    <row r="59" spans="1:9" ht="21" x14ac:dyDescent="0.45">
      <c r="A59" s="4"/>
      <c r="B59" s="5" t="s">
        <v>93</v>
      </c>
      <c r="C59" s="7" t="s">
        <v>14</v>
      </c>
      <c r="D59" s="7">
        <v>3.8</v>
      </c>
      <c r="E59" s="4"/>
    </row>
    <row r="60" spans="1:9" ht="21" x14ac:dyDescent="0.45">
      <c r="A60" s="4"/>
      <c r="B60" s="5" t="s">
        <v>50</v>
      </c>
      <c r="C60" s="7" t="s">
        <v>14</v>
      </c>
      <c r="D60" s="7">
        <v>3.8</v>
      </c>
      <c r="E60" s="4"/>
    </row>
    <row r="61" spans="1:9" ht="21" x14ac:dyDescent="0.45">
      <c r="A61" s="4"/>
      <c r="B61" s="5" t="s">
        <v>51</v>
      </c>
      <c r="C61" s="7" t="s">
        <v>14</v>
      </c>
      <c r="D61" s="7">
        <v>5.6</v>
      </c>
      <c r="E61" s="4"/>
    </row>
    <row r="62" spans="1:9" ht="21" x14ac:dyDescent="0.45">
      <c r="A62" s="4"/>
      <c r="B62" s="5" t="s">
        <v>52</v>
      </c>
      <c r="C62" s="7" t="s">
        <v>14</v>
      </c>
      <c r="D62" s="7">
        <v>5.6</v>
      </c>
      <c r="E62" s="4"/>
    </row>
    <row r="63" spans="1:9" ht="21" x14ac:dyDescent="0.45">
      <c r="A63" s="4"/>
      <c r="B63" s="5" t="s">
        <v>53</v>
      </c>
      <c r="C63" s="7" t="s">
        <v>14</v>
      </c>
      <c r="D63" s="7">
        <v>5.6</v>
      </c>
      <c r="E63" s="4"/>
    </row>
    <row r="64" spans="1:9" ht="21" x14ac:dyDescent="0.45">
      <c r="A64" s="4"/>
      <c r="B64" s="5" t="s">
        <v>54</v>
      </c>
      <c r="C64" s="7" t="s">
        <v>14</v>
      </c>
      <c r="D64" s="7">
        <v>5.6</v>
      </c>
      <c r="E64" s="4"/>
    </row>
    <row r="65" spans="1:5" ht="21" x14ac:dyDescent="0.45">
      <c r="A65" s="4"/>
      <c r="B65" s="5" t="s">
        <v>55</v>
      </c>
      <c r="C65" s="7" t="s">
        <v>14</v>
      </c>
      <c r="D65" s="7">
        <v>5.6</v>
      </c>
      <c r="E65" s="4"/>
    </row>
    <row r="66" spans="1:5" ht="21" x14ac:dyDescent="0.45">
      <c r="A66" s="4"/>
      <c r="B66" s="5" t="s">
        <v>56</v>
      </c>
      <c r="C66" s="7" t="s">
        <v>14</v>
      </c>
      <c r="D66" s="7">
        <v>5.6</v>
      </c>
      <c r="E66" s="4"/>
    </row>
    <row r="67" spans="1:5" ht="21" x14ac:dyDescent="0.45">
      <c r="A67" s="4"/>
      <c r="B67" s="5" t="s">
        <v>57</v>
      </c>
      <c r="C67" s="7" t="s">
        <v>14</v>
      </c>
      <c r="D67" s="7">
        <v>5.6</v>
      </c>
      <c r="E67" s="4"/>
    </row>
    <row r="68" spans="1:5" ht="21" x14ac:dyDescent="0.45">
      <c r="A68" s="4"/>
      <c r="B68" s="5" t="s">
        <v>60</v>
      </c>
      <c r="C68" s="7" t="s">
        <v>14</v>
      </c>
      <c r="D68" s="7">
        <v>5.6</v>
      </c>
      <c r="E68" s="4"/>
    </row>
    <row r="69" spans="1:5" ht="21" x14ac:dyDescent="0.45">
      <c r="A69" s="4"/>
      <c r="B69" s="5" t="s">
        <v>59</v>
      </c>
      <c r="C69" s="7" t="s">
        <v>14</v>
      </c>
      <c r="D69" s="7">
        <v>5.6</v>
      </c>
      <c r="E69" s="4"/>
    </row>
    <row r="70" spans="1:5" ht="21" x14ac:dyDescent="0.45">
      <c r="A70" s="4"/>
      <c r="B70" s="5" t="s">
        <v>58</v>
      </c>
      <c r="C70" s="7" t="s">
        <v>14</v>
      </c>
      <c r="D70" s="7">
        <v>5.6</v>
      </c>
      <c r="E70" s="4"/>
    </row>
    <row r="71" spans="1:5" ht="21" x14ac:dyDescent="0.45">
      <c r="A71" s="4"/>
      <c r="B71" s="5" t="s">
        <v>61</v>
      </c>
      <c r="C71" s="7" t="s">
        <v>14</v>
      </c>
      <c r="D71" s="7">
        <v>5.6</v>
      </c>
      <c r="E71" s="4"/>
    </row>
    <row r="72" spans="1:5" ht="21" x14ac:dyDescent="0.45">
      <c r="A72" s="4"/>
      <c r="B72" s="5" t="s">
        <v>62</v>
      </c>
      <c r="C72" s="7" t="s">
        <v>14</v>
      </c>
      <c r="D72" s="7">
        <v>5.6</v>
      </c>
      <c r="E72" s="4"/>
    </row>
    <row r="73" spans="1:5" ht="21" x14ac:dyDescent="0.45">
      <c r="A73" s="4"/>
      <c r="B73" s="5" t="s">
        <v>63</v>
      </c>
      <c r="C73" s="7" t="s">
        <v>14</v>
      </c>
      <c r="D73" s="7">
        <v>7.4</v>
      </c>
      <c r="E73" s="4"/>
    </row>
    <row r="74" spans="1:5" ht="21" x14ac:dyDescent="0.45">
      <c r="A74" s="4"/>
      <c r="B74" s="5" t="s">
        <v>64</v>
      </c>
      <c r="C74" s="7" t="s">
        <v>14</v>
      </c>
      <c r="D74" s="7">
        <v>7.4</v>
      </c>
      <c r="E74" s="4"/>
    </row>
    <row r="75" spans="1:5" ht="21" x14ac:dyDescent="0.45">
      <c r="A75" s="4"/>
      <c r="B75" s="5" t="s">
        <v>65</v>
      </c>
      <c r="C75" s="7" t="s">
        <v>14</v>
      </c>
      <c r="D75" s="7">
        <v>7.4</v>
      </c>
      <c r="E75" s="4"/>
    </row>
    <row r="76" spans="1:5" ht="21" x14ac:dyDescent="0.45">
      <c r="A76" s="4"/>
      <c r="B76" s="5" t="s">
        <v>21</v>
      </c>
      <c r="C76" s="7" t="s">
        <v>14</v>
      </c>
      <c r="D76" s="7">
        <v>5.6</v>
      </c>
      <c r="E76" s="4"/>
    </row>
    <row r="77" spans="1:5" ht="21" x14ac:dyDescent="0.45">
      <c r="A77" s="4"/>
      <c r="B77" s="5" t="s">
        <v>20</v>
      </c>
      <c r="C77" s="7" t="s">
        <v>14</v>
      </c>
      <c r="D77" s="7">
        <v>5.6</v>
      </c>
      <c r="E77" s="4"/>
    </row>
    <row r="78" spans="1:5" ht="21" x14ac:dyDescent="0.45">
      <c r="A78" s="4"/>
      <c r="B78" s="5" t="s">
        <v>19</v>
      </c>
      <c r="C78" s="7" t="s">
        <v>14</v>
      </c>
      <c r="D78" s="7">
        <v>5.6</v>
      </c>
      <c r="E78" s="4"/>
    </row>
    <row r="79" spans="1:5" ht="21" x14ac:dyDescent="0.45">
      <c r="A79" s="4"/>
      <c r="B79" s="5" t="s">
        <v>22</v>
      </c>
      <c r="C79" s="7" t="s">
        <v>14</v>
      </c>
      <c r="D79" s="7">
        <v>5.6</v>
      </c>
      <c r="E79" s="4"/>
    </row>
    <row r="80" spans="1:5" ht="21" x14ac:dyDescent="0.45">
      <c r="A80" s="4"/>
      <c r="B80" s="5" t="s">
        <v>23</v>
      </c>
      <c r="C80" s="7" t="s">
        <v>14</v>
      </c>
      <c r="D80" s="7">
        <v>5.6</v>
      </c>
      <c r="E80" s="4"/>
    </row>
    <row r="81" spans="1:5" ht="21" x14ac:dyDescent="0.45">
      <c r="A81" s="4"/>
      <c r="B81" s="5" t="s">
        <v>39</v>
      </c>
      <c r="C81" s="7" t="s">
        <v>14</v>
      </c>
      <c r="D81" s="7">
        <v>5.6</v>
      </c>
      <c r="E81" s="4"/>
    </row>
    <row r="82" spans="1:5" ht="21" x14ac:dyDescent="0.45">
      <c r="A82" s="4"/>
      <c r="B82" s="5" t="s">
        <v>24</v>
      </c>
      <c r="C82" s="7" t="s">
        <v>14</v>
      </c>
      <c r="D82" s="7">
        <v>7.4</v>
      </c>
      <c r="E82" s="4"/>
    </row>
    <row r="83" spans="1:5" ht="21" x14ac:dyDescent="0.45">
      <c r="A83" s="4"/>
      <c r="B83" s="5" t="s">
        <v>25</v>
      </c>
      <c r="C83" s="7" t="s">
        <v>14</v>
      </c>
      <c r="D83" s="7">
        <v>7.4</v>
      </c>
      <c r="E83" s="4"/>
    </row>
    <row r="84" spans="1:5" ht="21" x14ac:dyDescent="0.45">
      <c r="A84" s="4"/>
      <c r="B84" s="5" t="s">
        <v>29</v>
      </c>
      <c r="C84" s="7" t="s">
        <v>14</v>
      </c>
      <c r="D84" s="7">
        <v>5.6</v>
      </c>
      <c r="E84" s="4"/>
    </row>
    <row r="85" spans="1:5" ht="21" x14ac:dyDescent="0.45">
      <c r="A85" s="4"/>
      <c r="B85" s="5" t="s">
        <v>30</v>
      </c>
      <c r="C85" s="7" t="s">
        <v>14</v>
      </c>
      <c r="D85" s="7">
        <v>5.6</v>
      </c>
      <c r="E85" s="4"/>
    </row>
    <row r="86" spans="1:5" ht="21" x14ac:dyDescent="0.45">
      <c r="A86" s="4"/>
      <c r="B86" s="5" t="s">
        <v>31</v>
      </c>
      <c r="C86" s="7" t="s">
        <v>14</v>
      </c>
      <c r="D86" s="7">
        <v>5.6</v>
      </c>
      <c r="E86" s="4"/>
    </row>
    <row r="87" spans="1:5" ht="21" x14ac:dyDescent="0.45">
      <c r="A87" s="4"/>
      <c r="B87" s="5" t="s">
        <v>32</v>
      </c>
      <c r="C87" s="7" t="s">
        <v>14</v>
      </c>
      <c r="D87" s="7">
        <v>5.6</v>
      </c>
      <c r="E87" s="4"/>
    </row>
    <row r="88" spans="1:5" ht="21" x14ac:dyDescent="0.45">
      <c r="A88" s="4"/>
      <c r="B88" s="5" t="s">
        <v>33</v>
      </c>
      <c r="C88" s="7" t="s">
        <v>14</v>
      </c>
      <c r="D88" s="7">
        <v>6.5</v>
      </c>
      <c r="E88" s="4"/>
    </row>
    <row r="89" spans="1:5" ht="21" x14ac:dyDescent="0.45">
      <c r="A89" s="4"/>
      <c r="B89" s="5" t="s">
        <v>34</v>
      </c>
      <c r="C89" s="7" t="s">
        <v>14</v>
      </c>
      <c r="D89" s="7">
        <v>6.5</v>
      </c>
      <c r="E89" s="4"/>
    </row>
    <row r="90" spans="1:5" ht="21" x14ac:dyDescent="0.45">
      <c r="A90" s="4"/>
      <c r="B90" s="5" t="s">
        <v>35</v>
      </c>
      <c r="C90" s="7" t="s">
        <v>14</v>
      </c>
      <c r="D90" s="7">
        <v>6.5</v>
      </c>
      <c r="E90" s="4"/>
    </row>
    <row r="91" spans="1:5" ht="21" x14ac:dyDescent="0.45">
      <c r="A91" s="4"/>
      <c r="B91" s="5" t="s">
        <v>36</v>
      </c>
      <c r="C91" s="7" t="s">
        <v>14</v>
      </c>
      <c r="D91" s="7">
        <v>6.5</v>
      </c>
      <c r="E91" s="4"/>
    </row>
    <row r="92" spans="1:5" ht="21" x14ac:dyDescent="0.45">
      <c r="A92" s="4"/>
      <c r="B92" s="5" t="s">
        <v>26</v>
      </c>
      <c r="C92" s="7" t="s">
        <v>14</v>
      </c>
      <c r="D92" s="7">
        <v>6.5</v>
      </c>
      <c r="E92" s="4"/>
    </row>
    <row r="93" spans="1:5" ht="21" x14ac:dyDescent="0.45">
      <c r="A93" s="4"/>
      <c r="B93" s="5" t="s">
        <v>27</v>
      </c>
      <c r="C93" s="7" t="s">
        <v>14</v>
      </c>
      <c r="D93" s="7">
        <v>6.5</v>
      </c>
      <c r="E93" s="4"/>
    </row>
    <row r="94" spans="1:5" ht="21" x14ac:dyDescent="0.45">
      <c r="A94" s="4"/>
      <c r="B94" s="5" t="s">
        <v>28</v>
      </c>
      <c r="C94" s="7" t="s">
        <v>14</v>
      </c>
      <c r="D94" s="7">
        <v>6.5</v>
      </c>
      <c r="E94" s="4"/>
    </row>
    <row r="95" spans="1:5" ht="21" x14ac:dyDescent="0.45">
      <c r="A95" s="4"/>
      <c r="B95" s="5" t="s">
        <v>38</v>
      </c>
      <c r="C95" s="7" t="s">
        <v>14</v>
      </c>
      <c r="D95" s="7">
        <v>6.5</v>
      </c>
      <c r="E95" s="4"/>
    </row>
    <row r="96" spans="1:5" ht="21" x14ac:dyDescent="0.45">
      <c r="A96" s="4"/>
      <c r="B96" s="5" t="s">
        <v>66</v>
      </c>
      <c r="C96" s="7" t="s">
        <v>14</v>
      </c>
      <c r="D96" s="7">
        <v>7.8</v>
      </c>
      <c r="E96" s="4"/>
    </row>
    <row r="97" spans="1:5" ht="21" x14ac:dyDescent="0.45">
      <c r="A97" s="4"/>
      <c r="B97" s="5" t="s">
        <v>67</v>
      </c>
      <c r="C97" s="7" t="s">
        <v>14</v>
      </c>
      <c r="D97" s="7">
        <v>7.8</v>
      </c>
      <c r="E97" s="4"/>
    </row>
    <row r="98" spans="1:5" ht="21" x14ac:dyDescent="0.45">
      <c r="A98" s="4"/>
      <c r="B98" s="5" t="s">
        <v>68</v>
      </c>
      <c r="C98" s="7" t="s">
        <v>14</v>
      </c>
      <c r="D98" s="7">
        <v>7.8</v>
      </c>
      <c r="E98" s="4"/>
    </row>
    <row r="99" spans="1:5" ht="21" x14ac:dyDescent="0.45">
      <c r="A99" s="4"/>
      <c r="B99" s="5" t="s">
        <v>69</v>
      </c>
      <c r="C99" s="7" t="s">
        <v>14</v>
      </c>
      <c r="D99" s="7">
        <v>7.8</v>
      </c>
      <c r="E99" s="4"/>
    </row>
    <row r="100" spans="1:5" ht="21" x14ac:dyDescent="0.45">
      <c r="A100" s="4"/>
      <c r="B100" s="5" t="s">
        <v>70</v>
      </c>
      <c r="C100" s="7" t="s">
        <v>14</v>
      </c>
      <c r="D100" s="7">
        <v>7.8</v>
      </c>
      <c r="E100" s="4"/>
    </row>
    <row r="101" spans="1:5" ht="21" x14ac:dyDescent="0.45">
      <c r="A101" s="4"/>
      <c r="B101" s="5" t="s">
        <v>71</v>
      </c>
      <c r="C101" s="7" t="s">
        <v>14</v>
      </c>
      <c r="D101" s="7">
        <v>7.8</v>
      </c>
      <c r="E101" s="4"/>
    </row>
    <row r="102" spans="1:5" ht="21" x14ac:dyDescent="0.45">
      <c r="A102" s="4"/>
      <c r="B102" s="5" t="s">
        <v>72</v>
      </c>
      <c r="C102" s="7" t="s">
        <v>14</v>
      </c>
      <c r="D102" s="7">
        <v>9.3000000000000007</v>
      </c>
      <c r="E102" s="4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DE7A-C765-4177-A7AA-A0943977CA75}">
  <sheetPr>
    <tabColor rgb="FF00B050"/>
  </sheetPr>
  <dimension ref="A2:D34"/>
  <sheetViews>
    <sheetView workbookViewId="0">
      <selection activeCell="C9" sqref="C9"/>
    </sheetView>
  </sheetViews>
  <sheetFormatPr defaultRowHeight="14.25" x14ac:dyDescent="0.2"/>
  <cols>
    <col min="1" max="1" width="9.375" style="85" customWidth="1"/>
    <col min="2" max="2" width="13.625" bestFit="1" customWidth="1"/>
    <col min="3" max="3" width="28.25" customWidth="1"/>
  </cols>
  <sheetData>
    <row r="2" spans="1:4" ht="15" thickBot="1" x14ac:dyDescent="0.25">
      <c r="A2" s="160" t="s">
        <v>95</v>
      </c>
      <c r="B2" s="93" t="s">
        <v>41</v>
      </c>
      <c r="C2" s="94" t="s">
        <v>102</v>
      </c>
    </row>
    <row r="3" spans="1:4" ht="15.75" thickTop="1" thickBot="1" x14ac:dyDescent="0.25">
      <c r="A3" s="161">
        <v>1</v>
      </c>
      <c r="B3" s="95" t="s">
        <v>142</v>
      </c>
      <c r="C3" s="96" t="s">
        <v>103</v>
      </c>
    </row>
    <row r="4" spans="1:4" ht="15.75" thickTop="1" thickBot="1" x14ac:dyDescent="0.25">
      <c r="A4" s="260">
        <v>2</v>
      </c>
      <c r="B4" s="261" t="s">
        <v>81</v>
      </c>
      <c r="C4" s="262" t="s">
        <v>104</v>
      </c>
      <c r="D4" s="263" t="s">
        <v>144</v>
      </c>
    </row>
    <row r="5" spans="1:4" ht="15.75" thickTop="1" thickBot="1" x14ac:dyDescent="0.25">
      <c r="A5" s="260">
        <v>3</v>
      </c>
      <c r="B5" s="261" t="s">
        <v>79</v>
      </c>
      <c r="C5" s="262" t="s">
        <v>105</v>
      </c>
      <c r="D5" s="263" t="s">
        <v>144</v>
      </c>
    </row>
    <row r="6" spans="1:4" ht="15.75" thickTop="1" thickBot="1" x14ac:dyDescent="0.25">
      <c r="A6" s="260">
        <v>4</v>
      </c>
      <c r="B6" s="261" t="s">
        <v>84</v>
      </c>
      <c r="C6" s="262" t="s">
        <v>106</v>
      </c>
      <c r="D6" s="263" t="s">
        <v>144</v>
      </c>
    </row>
    <row r="7" spans="1:4" ht="15.75" thickTop="1" thickBot="1" x14ac:dyDescent="0.25">
      <c r="A7" s="260">
        <v>5</v>
      </c>
      <c r="B7" s="261" t="s">
        <v>87</v>
      </c>
      <c r="C7" s="262" t="s">
        <v>107</v>
      </c>
      <c r="D7" s="263" t="s">
        <v>144</v>
      </c>
    </row>
    <row r="8" spans="1:4" ht="15.75" thickTop="1" thickBot="1" x14ac:dyDescent="0.25">
      <c r="A8" s="260">
        <v>6</v>
      </c>
      <c r="B8" s="261" t="s">
        <v>80</v>
      </c>
      <c r="C8" s="262" t="s">
        <v>108</v>
      </c>
      <c r="D8" s="263" t="s">
        <v>144</v>
      </c>
    </row>
    <row r="9" spans="1:4" ht="15.75" thickTop="1" thickBot="1" x14ac:dyDescent="0.25">
      <c r="A9" s="161">
        <v>7</v>
      </c>
      <c r="B9" s="95" t="s">
        <v>147</v>
      </c>
      <c r="C9" s="96" t="s">
        <v>109</v>
      </c>
    </row>
    <row r="10" spans="1:4" ht="15.75" thickTop="1" thickBot="1" x14ac:dyDescent="0.25">
      <c r="A10" s="260">
        <v>8</v>
      </c>
      <c r="B10" s="261" t="s">
        <v>82</v>
      </c>
      <c r="C10" s="262" t="s">
        <v>110</v>
      </c>
      <c r="D10" s="263" t="s">
        <v>144</v>
      </c>
    </row>
    <row r="11" spans="1:4" ht="15.75" thickTop="1" thickBot="1" x14ac:dyDescent="0.25">
      <c r="A11" s="161">
        <v>9</v>
      </c>
      <c r="B11" s="95" t="s">
        <v>138</v>
      </c>
      <c r="C11" s="96" t="s">
        <v>111</v>
      </c>
    </row>
    <row r="12" spans="1:4" ht="15.75" thickTop="1" thickBot="1" x14ac:dyDescent="0.25">
      <c r="A12" s="161">
        <v>10</v>
      </c>
      <c r="B12" s="95" t="s">
        <v>88</v>
      </c>
      <c r="C12" s="96" t="s">
        <v>112</v>
      </c>
    </row>
    <row r="13" spans="1:4" ht="15.75" thickTop="1" thickBot="1" x14ac:dyDescent="0.25">
      <c r="A13" s="161">
        <v>11</v>
      </c>
      <c r="B13" s="95" t="s">
        <v>146</v>
      </c>
      <c r="C13" s="96" t="s">
        <v>145</v>
      </c>
    </row>
    <row r="14" spans="1:4" ht="15.75" thickTop="1" thickBot="1" x14ac:dyDescent="0.25">
      <c r="A14" s="161">
        <v>12</v>
      </c>
      <c r="B14" s="95" t="s">
        <v>83</v>
      </c>
      <c r="C14" s="96" t="s">
        <v>113</v>
      </c>
    </row>
    <row r="15" spans="1:4" ht="15.75" thickTop="1" thickBot="1" x14ac:dyDescent="0.25">
      <c r="A15" s="161">
        <v>13</v>
      </c>
      <c r="B15" s="95" t="s">
        <v>85</v>
      </c>
      <c r="C15" s="96" t="s">
        <v>114</v>
      </c>
    </row>
    <row r="16" spans="1:4" ht="15.75" thickTop="1" thickBot="1" x14ac:dyDescent="0.25">
      <c r="A16" s="161">
        <v>14</v>
      </c>
      <c r="B16" s="95" t="s">
        <v>89</v>
      </c>
      <c r="C16" s="96" t="s">
        <v>115</v>
      </c>
    </row>
    <row r="17" spans="1:4" ht="15.75" thickTop="1" thickBot="1" x14ac:dyDescent="0.25">
      <c r="A17" s="260">
        <v>15</v>
      </c>
      <c r="B17" s="261" t="s">
        <v>86</v>
      </c>
      <c r="C17" s="262" t="s">
        <v>116</v>
      </c>
      <c r="D17" s="263" t="s">
        <v>144</v>
      </c>
    </row>
    <row r="18" spans="1:4" ht="15.75" thickTop="1" thickBot="1" x14ac:dyDescent="0.25">
      <c r="A18" s="161">
        <v>16</v>
      </c>
      <c r="B18" s="95" t="s">
        <v>90</v>
      </c>
      <c r="C18" s="96" t="s">
        <v>117</v>
      </c>
    </row>
    <row r="19" spans="1:4" ht="15.75" thickTop="1" thickBot="1" x14ac:dyDescent="0.25">
      <c r="A19" s="161">
        <v>17</v>
      </c>
      <c r="B19" s="95" t="s">
        <v>91</v>
      </c>
      <c r="C19" s="96" t="s">
        <v>118</v>
      </c>
    </row>
    <row r="20" spans="1:4" ht="15.75" thickTop="1" thickBot="1" x14ac:dyDescent="0.25">
      <c r="A20" s="260">
        <v>18</v>
      </c>
      <c r="B20" s="261" t="s">
        <v>132</v>
      </c>
      <c r="C20" s="262" t="s">
        <v>119</v>
      </c>
      <c r="D20" s="263" t="s">
        <v>144</v>
      </c>
    </row>
    <row r="21" spans="1:4" ht="15.75" thickTop="1" thickBot="1" x14ac:dyDescent="0.25">
      <c r="A21" s="260">
        <v>19</v>
      </c>
      <c r="B21" s="261" t="s">
        <v>127</v>
      </c>
      <c r="C21" s="262" t="s">
        <v>120</v>
      </c>
      <c r="D21" s="263" t="s">
        <v>144</v>
      </c>
    </row>
    <row r="22" spans="1:4" ht="15.75" thickTop="1" thickBot="1" x14ac:dyDescent="0.25">
      <c r="A22" s="260">
        <v>20</v>
      </c>
      <c r="B22" s="261" t="s">
        <v>92</v>
      </c>
      <c r="C22" s="262" t="s">
        <v>121</v>
      </c>
      <c r="D22" s="263" t="s">
        <v>144</v>
      </c>
    </row>
    <row r="23" spans="1:4" ht="15.75" thickTop="1" thickBot="1" x14ac:dyDescent="0.25">
      <c r="A23" s="260">
        <v>21</v>
      </c>
      <c r="B23" s="261" t="s">
        <v>135</v>
      </c>
      <c r="C23" s="262" t="s">
        <v>134</v>
      </c>
      <c r="D23" s="263" t="s">
        <v>144</v>
      </c>
    </row>
    <row r="24" spans="1:4" ht="15.75" thickTop="1" thickBot="1" x14ac:dyDescent="0.25">
      <c r="A24" s="352">
        <v>22</v>
      </c>
      <c r="B24" s="353" t="s">
        <v>94</v>
      </c>
      <c r="C24" s="354" t="s">
        <v>122</v>
      </c>
      <c r="D24" s="263" t="s">
        <v>144</v>
      </c>
    </row>
    <row r="25" spans="1:4" ht="15.75" thickTop="1" thickBot="1" x14ac:dyDescent="0.25">
      <c r="A25" s="260">
        <v>23</v>
      </c>
      <c r="B25" s="261" t="s">
        <v>130</v>
      </c>
      <c r="C25" s="262" t="s">
        <v>128</v>
      </c>
      <c r="D25" s="263" t="s">
        <v>144</v>
      </c>
    </row>
    <row r="26" spans="1:4" ht="15.75" thickTop="1" thickBot="1" x14ac:dyDescent="0.25">
      <c r="A26" s="352">
        <v>24</v>
      </c>
      <c r="B26" s="353" t="s">
        <v>140</v>
      </c>
      <c r="C26" s="354" t="s">
        <v>141</v>
      </c>
      <c r="D26" s="263" t="s">
        <v>144</v>
      </c>
    </row>
    <row r="27" spans="1:4" ht="15.75" thickTop="1" thickBot="1" x14ac:dyDescent="0.25">
      <c r="A27" s="161">
        <v>25</v>
      </c>
      <c r="B27" s="95"/>
      <c r="C27" s="96"/>
    </row>
    <row r="28" spans="1:4" ht="15.75" thickTop="1" thickBot="1" x14ac:dyDescent="0.25">
      <c r="A28" s="161">
        <v>26</v>
      </c>
      <c r="B28" s="95"/>
      <c r="C28" s="96"/>
    </row>
    <row r="29" spans="1:4" ht="15.75" thickTop="1" thickBot="1" x14ac:dyDescent="0.25">
      <c r="A29" s="161">
        <v>27</v>
      </c>
      <c r="B29" s="95"/>
      <c r="C29" s="96"/>
    </row>
    <row r="30" spans="1:4" ht="15.75" thickTop="1" thickBot="1" x14ac:dyDescent="0.25">
      <c r="A30" s="161">
        <v>28</v>
      </c>
      <c r="B30" s="95"/>
      <c r="C30" s="96"/>
    </row>
    <row r="31" spans="1:4" ht="15.75" thickTop="1" thickBot="1" x14ac:dyDescent="0.25">
      <c r="A31" s="161">
        <v>29</v>
      </c>
      <c r="B31" s="95"/>
      <c r="C31" s="96"/>
    </row>
    <row r="32" spans="1:4" ht="15.75" thickTop="1" thickBot="1" x14ac:dyDescent="0.25">
      <c r="A32" s="161">
        <v>30</v>
      </c>
      <c r="B32" s="95"/>
      <c r="C32" s="96"/>
    </row>
    <row r="33" spans="1:3" ht="15.75" thickTop="1" thickBot="1" x14ac:dyDescent="0.25">
      <c r="A33" s="161">
        <v>31</v>
      </c>
      <c r="B33" s="97"/>
      <c r="C33" s="98"/>
    </row>
    <row r="34" spans="1:3" ht="15" thickTop="1" x14ac:dyDescent="0.2"/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69DB-2B33-41A3-9413-1A1391AB84D2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9ECD-D4BB-4DEF-B56D-BF718BB11FD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2A05-CBC3-4DB8-B94A-39FCBCACE3D0}">
  <sheetPr>
    <tabColor rgb="FFCC00FF"/>
  </sheetPr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2</vt:i4>
      </vt:variant>
    </vt:vector>
  </HeadingPairs>
  <TitlesOfParts>
    <vt:vector size="34" baseType="lpstr">
      <vt:lpstr>ผท-3888</vt:lpstr>
      <vt:lpstr>ผท-3888(2)</vt:lpstr>
      <vt:lpstr>ผท-6937</vt:lpstr>
      <vt:lpstr>ผท-6937(2)</vt:lpstr>
      <vt:lpstr>ผจ-5663</vt:lpstr>
      <vt:lpstr>ผจ-5663(2)</vt:lpstr>
      <vt:lpstr>ผฉ-1941</vt:lpstr>
      <vt:lpstr>ผฉ-1941(2)</vt:lpstr>
      <vt:lpstr>ผฉ-3572</vt:lpstr>
      <vt:lpstr>ผฉ-3572(2)</vt:lpstr>
      <vt:lpstr>3ฒพ-5552</vt:lpstr>
      <vt:lpstr>3ฒพ-5552(2)</vt:lpstr>
      <vt:lpstr>ผท-4890</vt:lpstr>
      <vt:lpstr>ผท-4890(2)</vt:lpstr>
      <vt:lpstr>บล-5334</vt:lpstr>
      <vt:lpstr>บล-5334(2)</vt:lpstr>
      <vt:lpstr>ผฉ-302ตู้</vt:lpstr>
      <vt:lpstr>ผฉ-302ตู้(2)</vt:lpstr>
      <vt:lpstr>ผฉ-3101ตู้</vt:lpstr>
      <vt:lpstr>ผฉ-3101ตู้(2)</vt:lpstr>
      <vt:lpstr>ผฉ-6108ตู้</vt:lpstr>
      <vt:lpstr>ผฉ-6108ตู้(2)</vt:lpstr>
      <vt:lpstr>3ฒต-983ตู้</vt:lpstr>
      <vt:lpstr>3ฒต-983ตู้(2)</vt:lpstr>
      <vt:lpstr>รายการหัก</vt:lpstr>
      <vt:lpstr>สรุปน้ำม้น</vt:lpstr>
      <vt:lpstr>สรุปรวม</vt:lpstr>
      <vt:lpstr>ราคาขนส่ง</vt:lpstr>
      <vt:lpstr>รายชื่อ</vt:lpstr>
      <vt:lpstr>Sheet1</vt:lpstr>
      <vt:lpstr>Sheet2</vt:lpstr>
      <vt:lpstr>Sheet3</vt:lpstr>
      <vt:lpstr>ราคา</vt:lpstr>
      <vt:lpstr>สถานที่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2026-06-05T06:02:50Z</cp:lastPrinted>
  <dcterms:created xsi:type="dcterms:W3CDTF">2021-03-03T03:22:47Z</dcterms:created>
  <dcterms:modified xsi:type="dcterms:W3CDTF">2026-06-17T04:39:22Z</dcterms:modified>
</cp:coreProperties>
</file>